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_KPI" sheetId="2" state="visible" r:id="rId4"/>
    <sheet name="Data_SupplierDelays" sheetId="3" state="visible" r:id="rId5"/>
    <sheet name="Data_HighDemand" sheetId="4" state="visible" r:id="rId6"/>
    <sheet name="Data_LeadTime" sheetId="5" state="visible" r:id="rId7"/>
    <sheet name="Data_Fulfillment" sheetId="6" state="visible" r:id="rId8"/>
    <sheet name="Data_StockTrend" sheetId="7" state="visible" r:id="rId9"/>
    <sheet name="Data_Shortages" sheetId="8" state="visible" r:id="rId10"/>
    <sheet name="Data_Bottleneck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<sst xmlns="http://schemas.openxmlformats.org/spreadsheetml/2006/main" count="305" uniqueCount="137">
  <si>
    <t xml:space="preserve">Supply Chain &amp; Inventory Analytics</t>
  </si>
  <si>
    <t xml:space="preserve">SQL · Excel · Power BI-style reporting  |  120K+ order records across 60 suppliers, 250 SKUs, 12 warehouses</t>
  </si>
  <si>
    <t xml:space="preserve">TOTAL ORDERS</t>
  </si>
  <si>
    <t xml:space="preserve">ON-TIME RATE</t>
  </si>
  <si>
    <t xml:space="preserve">DELAYED RATE</t>
  </si>
  <si>
    <t xml:space="preserve">CANCELLED RATE</t>
  </si>
  <si>
    <t xml:space="preserve">AVG DELAY (DAYS)</t>
  </si>
  <si>
    <t xml:space="preserve">Worst Supplier (by % Delayed)</t>
  </si>
  <si>
    <t xml:space="preserve">Top Product by Units Ordered</t>
  </si>
  <si>
    <t xml:space="preserve">Lowest-Fulfillment Warehouse</t>
  </si>
  <si>
    <t xml:space="preserve">Stock-outs on Latest Shortage List</t>
  </si>
  <si>
    <t xml:space="preserve">Source: sql/analysis_queries.sql -&gt; analysis/build_summary.py -&gt; Data_* sheets (this workbook). All Dashboard figures are live formulas, not pasted values.</t>
  </si>
  <si>
    <t xml:space="preserve">total_orders</t>
  </si>
  <si>
    <t xml:space="preserve">on_time_rate_pct</t>
  </si>
  <si>
    <t xml:space="preserve">delayed_rate_pct</t>
  </si>
  <si>
    <t xml:space="preserve">cancelled_rate_pct</t>
  </si>
  <si>
    <t xml:space="preserve">backordered_rate_pct</t>
  </si>
  <si>
    <t xml:space="preserve">avg_delay_vs_promised_days</t>
  </si>
  <si>
    <t xml:space="preserve">supplier_name</t>
  </si>
  <si>
    <t xml:space="preserve">region</t>
  </si>
  <si>
    <t xml:space="preserve">pct_delayed</t>
  </si>
  <si>
    <t xml:space="preserve">avg_delay_days</t>
  </si>
  <si>
    <t xml:space="preserve">Supplier 041</t>
  </si>
  <si>
    <t xml:space="preserve">North America</t>
  </si>
  <si>
    <t xml:space="preserve">Supplier 054</t>
  </si>
  <si>
    <t xml:space="preserve">Asia Pacific</t>
  </si>
  <si>
    <t xml:space="preserve">Supplier 034</t>
  </si>
  <si>
    <t xml:space="preserve">Supplier 028</t>
  </si>
  <si>
    <t xml:space="preserve">Middle East &amp; Africa</t>
  </si>
  <si>
    <t xml:space="preserve">Supplier 046</t>
  </si>
  <si>
    <t xml:space="preserve">Supplier 009</t>
  </si>
  <si>
    <t xml:space="preserve">Europe</t>
  </si>
  <si>
    <t xml:space="preserve">Supplier 023</t>
  </si>
  <si>
    <t xml:space="preserve">Supplier 052</t>
  </si>
  <si>
    <t xml:space="preserve">Supplier 003</t>
  </si>
  <si>
    <t xml:space="preserve">Latin America</t>
  </si>
  <si>
    <t xml:space="preserve">Supplier 018</t>
  </si>
  <si>
    <t xml:space="preserve">Supplier 032</t>
  </si>
  <si>
    <t xml:space="preserve">Supplier 024</t>
  </si>
  <si>
    <t xml:space="preserve">Supplier 025</t>
  </si>
  <si>
    <t xml:space="preserve">Supplier 005</t>
  </si>
  <si>
    <t xml:space="preserve">Supplier 013</t>
  </si>
  <si>
    <t xml:space="preserve">Supplier 012</t>
  </si>
  <si>
    <t xml:space="preserve">Supplier 048</t>
  </si>
  <si>
    <t xml:space="preserve">Supplier 035</t>
  </si>
  <si>
    <t xml:space="preserve">Supplier 022</t>
  </si>
  <si>
    <t xml:space="preserve">Supplier 047</t>
  </si>
  <si>
    <t xml:space="preserve">product_name</t>
  </si>
  <si>
    <t xml:space="preserve">category</t>
  </si>
  <si>
    <t xml:space="preserve">order_count</t>
  </si>
  <si>
    <t xml:space="preserve">total_units_ordered</t>
  </si>
  <si>
    <t xml:space="preserve">total_revenue</t>
  </si>
  <si>
    <t xml:space="preserve">pct_fulfillment_issues</t>
  </si>
  <si>
    <t xml:space="preserve">Product 0247</t>
  </si>
  <si>
    <t xml:space="preserve">Office Supplies</t>
  </si>
  <si>
    <t xml:space="preserve">Product 0211</t>
  </si>
  <si>
    <t xml:space="preserve">Electronics</t>
  </si>
  <si>
    <t xml:space="preserve">Product 0053</t>
  </si>
  <si>
    <t xml:space="preserve">Product 0044</t>
  </si>
  <si>
    <t xml:space="preserve">Food &amp; Beverage</t>
  </si>
  <si>
    <t xml:space="preserve">Product 0076</t>
  </si>
  <si>
    <t xml:space="preserve">Apparel</t>
  </si>
  <si>
    <t xml:space="preserve">Product 0197</t>
  </si>
  <si>
    <t xml:space="preserve">Pharmaceuticals</t>
  </si>
  <si>
    <t xml:space="preserve">Product 0238</t>
  </si>
  <si>
    <t xml:space="preserve">Product 0149</t>
  </si>
  <si>
    <t xml:space="preserve">Product 0164</t>
  </si>
  <si>
    <t xml:space="preserve">Industrial Parts</t>
  </si>
  <si>
    <t xml:space="preserve">Product 0072</t>
  </si>
  <si>
    <t xml:space="preserve">Product 0062</t>
  </si>
  <si>
    <t xml:space="preserve">Product 0125</t>
  </si>
  <si>
    <t xml:space="preserve">Automotive</t>
  </si>
  <si>
    <t xml:space="preserve">Product 0193</t>
  </si>
  <si>
    <t xml:space="preserve">Home &amp; Kitchen</t>
  </si>
  <si>
    <t xml:space="preserve">Product 0060</t>
  </si>
  <si>
    <t xml:space="preserve">Product 0242</t>
  </si>
  <si>
    <t xml:space="preserve">Product 0169</t>
  </si>
  <si>
    <t xml:space="preserve">Product 0014</t>
  </si>
  <si>
    <t xml:space="preserve">Product 0007</t>
  </si>
  <si>
    <t xml:space="preserve">Product 0030</t>
  </si>
  <si>
    <t xml:space="preserve">Product 0248</t>
  </si>
  <si>
    <t xml:space="preserve">delivered_orders</t>
  </si>
  <si>
    <t xml:space="preserve">avg_lead_time_days</t>
  </si>
  <si>
    <t xml:space="preserve">avg_promised_lead_time_days</t>
  </si>
  <si>
    <t xml:space="preserve">warehouse_name</t>
  </si>
  <si>
    <t xml:space="preserve">units_ordered</t>
  </si>
  <si>
    <t xml:space="preserve">units_delivered</t>
  </si>
  <si>
    <t xml:space="preserve">fulfillment_rate_pct</t>
  </si>
  <si>
    <t xml:space="preserve">Warehouse A</t>
  </si>
  <si>
    <t xml:space="preserve">Warehouse H</t>
  </si>
  <si>
    <t xml:space="preserve">Warehouse J</t>
  </si>
  <si>
    <t xml:space="preserve">Warehouse C</t>
  </si>
  <si>
    <t xml:space="preserve">Warehouse F</t>
  </si>
  <si>
    <t xml:space="preserve">Warehouse I</t>
  </si>
  <si>
    <t xml:space="preserve">Warehouse L</t>
  </si>
  <si>
    <t xml:space="preserve">Warehouse B</t>
  </si>
  <si>
    <t xml:space="preserve">Warehouse D</t>
  </si>
  <si>
    <t xml:space="preserve">Warehouse E</t>
  </si>
  <si>
    <t xml:space="preserve">Warehouse K</t>
  </si>
  <si>
    <t xml:space="preserve">Warehouse G</t>
  </si>
  <si>
    <t xml:space="preserve">month</t>
  </si>
  <si>
    <t xml:space="preserve">avg_stock_level</t>
  </si>
  <si>
    <t xml:space="preserve">avg_reorder_point</t>
  </si>
  <si>
    <t xml:space="preserve">stockout_rate_pct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</si>
  <si>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</si>
  <si>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</si>
  <si>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</si>
  <si>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</si>
  <si>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</si>
  <si>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</si>
  <si>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</si>
  <si>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</si>
  <si>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</si>
  <si>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</si>
  <si>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</si>
  <si>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</si>
  <si>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</si>
  <si>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</si>
  <si>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</si>
  <si>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</si>
  <si>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</si>
  <si>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</si>
  <si>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</si>
  <si>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</si>
  <si>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</si>
  <si>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</si>
  <si>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</si>
  <si>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</si>
  <si>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</si>
  <si>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stock_level</t>
  </si>
  <si>
    <t xml:space="preserve">reorder_point</t>
  </si>
  <si>
    <t xml:space="preserve">safety_stock</t>
  </si>
  <si>
    <t xml:space="preserve">units_below_safety_stock</t>
  </si>
  <si>
    <t xml:space="preserve">inventory_status</t>
  </si>
  <si>
    <t xml:space="preserve">STOCK-OUT</t>
  </si>
  <si>
    <t xml:space="preserve">CRITICAL</t>
  </si>
  <si>
    <t xml:space="preserve">pct_problem_orders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</si>
</sst>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0.0%"/>
    <numFmt numFmtId="167" formatCode="0.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F3A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20"/>
      <color rgb="FF0B1F3A"/>
      <name val="Arial"/>
      <family val="0"/>
      <charset val="1"/>
    </font>
    <font>
      <b val="true"/>
      <sz val="12"/>
      <color rgb="FFB23A3A"/>
      <name val="Arial"/>
      <family val="0"/>
      <charset val="1"/>
    </font>
    <font>
      <b val="true"/>
      <sz val="12"/>
      <color rgb="FF0B1F3A"/>
      <name val="Arial"/>
      <family val="0"/>
      <charset val="1"/>
    </font>
    <font>
      <b val="true"/>
      <sz val="12"/>
      <color rgb="FFC9791A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4F7"/>
        <bgColor rgb="FFF9F9F9"/>
      </patternFill>
    </fill>
    <fill>
      <patternFill patternType="solid">
        <fgColor rgb="FF0B1F3A"/>
        <bgColor rgb="FF003300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ck">
        <color rgb="FF1F8A82"/>
      </left>
      <right style="thin">
        <color rgb="FFD9DEE6"/>
      </right>
      <top style="thin">
        <color rgb="FFD9DEE6"/>
      </top>
      <bottom style="thin">
        <color rgb="FFD9DEE6"/>
      </bottom>
      <diagonal/>
    </border>
    <border diagonalUp="false" diagonalDown="false">
      <left style="thick">
        <color rgb="FFC9791A"/>
      </left>
      <right style="thin">
        <color rgb="FFD9DEE6"/>
      </right>
      <top style="thin">
        <color rgb="FFD9DEE6"/>
      </top>
      <bottom style="thin">
        <color rgb="FFD9DEE6"/>
      </bottom>
      <diagonal/>
    </border>
    <border diagonalUp="false" diagonalDown="false">
      <left style="thick">
        <color rgb="FFB23A3A"/>
      </left>
      <right style="thin">
        <color rgb="FFD9DEE6"/>
      </right>
      <top style="thin">
        <color rgb="FFD9DEE6"/>
      </top>
      <bottom style="thin">
        <color rgb="FFD9DEE6"/>
      </bottom>
      <diagonal/>
    </border>
    <border diagonalUp="false" diagonalDown="false">
      <left style="thick">
        <color rgb="FF0B1F3A"/>
      </left>
      <right style="thin">
        <color rgb="FFD9DEE6"/>
      </right>
      <top style="thin">
        <color rgb="FFD9DEE6"/>
      </top>
      <bottom style="thin">
        <color rgb="FFD9DEE6"/>
      </bottom>
      <diagonal/>
    </border>
    <border diagonalUp="false" diagonalDown="false">
      <left style="thin">
        <color rgb="FFD9DEE6"/>
      </left>
      <right style="thin">
        <color rgb="FFD9DEE6"/>
      </right>
      <top style="thin">
        <color rgb="FFD9DEE6"/>
      </top>
      <bottom style="thin">
        <color rgb="FFD9DE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7A44B"/>
      <rgbColor rgb="FF800080"/>
      <rgbColor rgb="FF008080"/>
      <rgbColor rgb="FFB3C992"/>
      <rgbColor rgb="FF878787"/>
      <rgbColor rgb="FF9999FF"/>
      <rgbColor rgb="FFB23A3A"/>
      <rgbColor rgb="FFF9F9F9"/>
      <rgbColor rgb="FFF2F4F7"/>
      <rgbColor rgb="FF660066"/>
      <rgbColor rgb="FFD09493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EE6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9791A"/>
      <rgbColor rgb="FF666666"/>
      <rgbColor rgb="FF888888"/>
      <rgbColor rgb="FF0B1F3A"/>
      <rgbColor rgb="FF1F8A82"/>
      <rgbColor rgb="FF003300"/>
      <rgbColor rgb="FF333300"/>
      <rgbColor rgb="FF993300"/>
      <rgbColor rgb="FFAB4744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Suppliers by % Delayed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Data_SupplierDelays!D1</c:f>
              <c:strCache>
                <c:ptCount val="1"/>
                <c:pt idx="0">
                  <c:v>pct_delayed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Data_SupplierDelays!$A$2:$A$11</c:f>
              <c:strCache>
                <c:ptCount val="10"/>
                <c:pt idx="0">
                  <c:v>Supplier 041</c:v>
                </c:pt>
                <c:pt idx="1">
                  <c:v>Supplier 054</c:v>
                </c:pt>
                <c:pt idx="2">
                  <c:v>Supplier 034</c:v>
                </c:pt>
                <c:pt idx="3">
                  <c:v>Supplier 028</c:v>
                </c:pt>
                <c:pt idx="4">
                  <c:v>Supplier 046</c:v>
                </c:pt>
                <c:pt idx="5">
                  <c:v>Supplier 009</c:v>
                </c:pt>
                <c:pt idx="6">
                  <c:v>Supplier 023</c:v>
                </c:pt>
                <c:pt idx="7">
                  <c:v>Supplier 052</c:v>
                </c:pt>
                <c:pt idx="8">
                  <c:v>Supplier 003</c:v>
                </c:pt>
                <c:pt idx="9">
                  <c:v>Supplier 018</c:v>
                </c:pt>
              </c:strCache>
            </c:strRef>
          </c:cat>
          <c:val>
            <c:numRef>
              <c:f>Data_SupplierDelays!$D$2:$D$11</c:f>
              <c:numCache>
                <c:formatCode>General</c:formatCode>
                <c:ptCount val="10"/>
                <c:pt idx="0">
                  <c:v>80.1</c:v>
                </c:pt>
                <c:pt idx="1">
                  <c:v>78.7</c:v>
                </c:pt>
                <c:pt idx="2">
                  <c:v>78.6</c:v>
                </c:pt>
                <c:pt idx="3">
                  <c:v>68.7</c:v>
                </c:pt>
                <c:pt idx="4">
                  <c:v>67.9</c:v>
                </c:pt>
                <c:pt idx="5">
                  <c:v>67</c:v>
                </c:pt>
                <c:pt idx="6">
                  <c:v>66.5</c:v>
                </c:pt>
                <c:pt idx="7">
                  <c:v>66.2</c:v>
                </c:pt>
                <c:pt idx="8">
                  <c:v>65</c:v>
                </c:pt>
                <c:pt idx="9">
                  <c:v>64.3</c:v>
                </c:pt>
              </c:numCache>
            </c:numRef>
          </c:val>
        </c:ser>
        <c:gapWidth val="150"/>
        <c:overlap val="0"/>
        <c:axId val="19212403"/>
        <c:axId val="87859683"/>
      </c:barChart>
      <c:catAx>
        <c:axId val="192124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859683"/>
        <c:crosses val="autoZero"/>
        <c:auto val="1"/>
        <c:lblAlgn val="ctr"/>
        <c:lblOffset val="100"/>
        <c:noMultiLvlLbl val="0"/>
      </c:catAx>
      <c:valAx>
        <c:axId val="87859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% Delayed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21240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Lead Time: Actual vs Promised (days)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Data_LeadTime!C1</c:f>
              <c:strCache>
                <c:ptCount val="1"/>
                <c:pt idx="0">
                  <c:v>avg_lead_time_days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Data_LeadTime!$A$2:$A$6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Latin America</c:v>
                </c:pt>
                <c:pt idx="3">
                  <c:v>Middle East &amp; Africa</c:v>
                </c:pt>
                <c:pt idx="4">
                  <c:v>Asia Pacific</c:v>
                </c:pt>
              </c:strCache>
            </c:strRef>
          </c:cat>
          <c:val>
            <c:numRef>
              <c:f>Data_LeadTime!$C$2:$C$6</c:f>
              <c:numCache>
                <c:formatCode>General</c:formatCode>
                <c:ptCount val="5"/>
                <c:pt idx="0">
                  <c:v>30.6</c:v>
                </c:pt>
                <c:pt idx="1">
                  <c:v>29.6</c:v>
                </c:pt>
                <c:pt idx="2">
                  <c:v>28.3</c:v>
                </c:pt>
                <c:pt idx="3">
                  <c:v>25.2</c:v>
                </c:pt>
                <c:pt idx="4">
                  <c:v>23.7</c:v>
                </c:pt>
              </c:numCache>
            </c:numRef>
          </c:val>
        </c:ser>
        <c:ser>
          <c:idx val="1"/>
          <c:order val="1"/>
          <c:tx>
            <c:strRef>
              <c:f>Data_LeadTime!D1</c:f>
              <c:strCache>
                <c:ptCount val="1"/>
                <c:pt idx="0">
                  <c:v>avg_promised_lead_time_days</c:v>
                </c:pt>
              </c:strCache>
            </c:strRef>
          </c:tx>
          <c:spPr>
            <a:solidFill>
              <a:srgbClr val="d0949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Data_LeadTime!$A$2:$A$6</c:f>
              <c:strCache>
                <c:ptCount val="5"/>
                <c:pt idx="0">
                  <c:v>North America</c:v>
                </c:pt>
                <c:pt idx="1">
                  <c:v>Europe</c:v>
                </c:pt>
                <c:pt idx="2">
                  <c:v>Latin America</c:v>
                </c:pt>
                <c:pt idx="3">
                  <c:v>Middle East &amp; Africa</c:v>
                </c:pt>
                <c:pt idx="4">
                  <c:v>Asia Pacific</c:v>
                </c:pt>
              </c:strCache>
            </c:strRef>
          </c:cat>
          <c:val>
            <c:numRef>
              <c:f>Data_LeadTime!$D$2:$D$6</c:f>
              <c:numCache>
                <c:formatCode>General</c:formatCode>
                <c:ptCount val="5"/>
                <c:pt idx="0">
                  <c:v>28.7</c:v>
                </c:pt>
                <c:pt idx="1">
                  <c:v>27.8</c:v>
                </c:pt>
                <c:pt idx="2">
                  <c:v>27</c:v>
                </c:pt>
                <c:pt idx="3">
                  <c:v>23</c:v>
                </c:pt>
                <c:pt idx="4">
                  <c:v>22.2</c:v>
                </c:pt>
              </c:numCache>
            </c:numRef>
          </c:val>
        </c:ser>
        <c:gapWidth val="150"/>
        <c:overlap val="0"/>
        <c:axId val="9554701"/>
        <c:axId val="94266626"/>
      </c:barChart>
      <c:catAx>
        <c:axId val="95547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266626"/>
        <c:crosses val="autoZero"/>
        <c:auto val="1"/>
        <c:lblAlgn val="ctr"/>
        <c:lblOffset val="100"/>
        <c:noMultiLvlLbl val="0"/>
      </c:catAx>
      <c:valAx>
        <c:axId val="942666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5547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Fulfillment Rate % by Warehouse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Data_Fulfillment!F1</c:f>
              <c:strCache>
                <c:ptCount val="1"/>
                <c:pt idx="0">
                  <c:v>fulfillment_rate_pct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Data_Fulfillment!$A$2:$A$13</c:f>
              <c:strCache>
                <c:ptCount val="12"/>
                <c:pt idx="0">
                  <c:v>Warehouse A</c:v>
                </c:pt>
                <c:pt idx="1">
                  <c:v>Warehouse H</c:v>
                </c:pt>
                <c:pt idx="2">
                  <c:v>Warehouse J</c:v>
                </c:pt>
                <c:pt idx="3">
                  <c:v>Warehouse C</c:v>
                </c:pt>
                <c:pt idx="4">
                  <c:v>Warehouse F</c:v>
                </c:pt>
                <c:pt idx="5">
                  <c:v>Warehouse I</c:v>
                </c:pt>
                <c:pt idx="6">
                  <c:v>Warehouse L</c:v>
                </c:pt>
                <c:pt idx="7">
                  <c:v>Warehouse B</c:v>
                </c:pt>
                <c:pt idx="8">
                  <c:v>Warehouse D</c:v>
                </c:pt>
                <c:pt idx="9">
                  <c:v>Warehouse E</c:v>
                </c:pt>
                <c:pt idx="10">
                  <c:v>Warehouse K</c:v>
                </c:pt>
                <c:pt idx="11">
                  <c:v>Warehouse G</c:v>
                </c:pt>
              </c:strCache>
            </c:strRef>
          </c:cat>
          <c:val>
            <c:numRef>
              <c:f>Data_Fulfillment!$F$2:$F$13</c:f>
              <c:numCache>
                <c:formatCode>General</c:formatCode>
                <c:ptCount val="12"/>
                <c:pt idx="0">
                  <c:v>89.9</c:v>
                </c:pt>
                <c:pt idx="1">
                  <c:v>90.4</c:v>
                </c:pt>
                <c:pt idx="2">
                  <c:v>90.4</c:v>
                </c:pt>
                <c:pt idx="3">
                  <c:v>90.5</c:v>
                </c:pt>
                <c:pt idx="4">
                  <c:v>90.5</c:v>
                </c:pt>
                <c:pt idx="5">
                  <c:v>90.5</c:v>
                </c:pt>
                <c:pt idx="6">
                  <c:v>90.5</c:v>
                </c:pt>
                <c:pt idx="7">
                  <c:v>90.7</c:v>
                </c:pt>
                <c:pt idx="8">
                  <c:v>90.7</c:v>
                </c:pt>
                <c:pt idx="9">
                  <c:v>90.7</c:v>
                </c:pt>
                <c:pt idx="10">
                  <c:v>90.9</c:v>
                </c:pt>
                <c:pt idx="11">
                  <c:v>91</c:v>
                </c:pt>
              </c:numCache>
            </c:numRef>
          </c:val>
        </c:ser>
        <c:gapWidth val="150"/>
        <c:overlap val="0"/>
        <c:axId val="61122666"/>
        <c:axId val="66178976"/>
      </c:barChart>
      <c:catAx>
        <c:axId val="6112266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178976"/>
        <c:crosses val="autoZero"/>
        <c:auto val="1"/>
        <c:lblAlgn val="ctr"/>
        <c:lblOffset val="100"/>
        <c:noMultiLvlLbl val="0"/>
      </c:catAx>
      <c:valAx>
        <c:axId val="661789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2266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Stock Level vs Reorder Point (Monthly)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Data_StockTrend!B1</c:f>
              <c:strCache>
                <c:ptCount val="1"/>
                <c:pt idx="0">
                  <c:v>avg_stock_level</c:v>
                </c:pt>
              </c:strCache>
            </c:strRef>
          </c:tx>
          <c:spPr>
            <a:solidFill>
              <a:srgbClr val="87a44b"/>
            </a:solidFill>
            <a:ln w="47520">
              <a:solidFill>
                <a:srgbClr val="87a44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Data_StockTrend!$A$2:$A$26</c:f>
              <c:strCache>
                <c:ptCount val="25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</c:strCache>
            </c:strRef>
          </c:cat>
          <c:val>
            <c:numRef>
              <c:f>Data_StockTrend!$B$2:$B$26</c:f>
              <c:numCache>
                <c:formatCode>General</c:formatCode>
                <c:ptCount val="25"/>
                <c:pt idx="0">
                  <c:v>94</c:v>
                </c:pt>
                <c:pt idx="1">
                  <c:v>45</c:v>
                </c:pt>
                <c:pt idx="2">
                  <c:v>26</c:v>
                </c:pt>
                <c:pt idx="3">
                  <c:v>16</c:v>
                </c:pt>
                <c:pt idx="4">
                  <c:v>10</c:v>
                </c:pt>
                <c:pt idx="5">
                  <c:v>8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Data_StockTrend!C1</c:f>
              <c:strCache>
                <c:ptCount val="1"/>
                <c:pt idx="0">
                  <c:v>avg_reorder_point</c:v>
                </c:pt>
              </c:strCache>
            </c:strRef>
          </c:tx>
          <c:spPr>
            <a:solidFill>
              <a:srgbClr val="b3c992"/>
            </a:solidFill>
            <a:ln w="47520">
              <a:solidFill>
                <a:srgbClr val="b3c992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Data_StockTrend!$A$2:$A$26</c:f>
              <c:strCache>
                <c:ptCount val="25"/>
                <c:pt idx="0">
                  <c:v>2024-01</c:v>
                </c:pt>
                <c:pt idx="1">
                  <c:v>2024-02</c:v>
                </c:pt>
                <c:pt idx="2">
                  <c:v>2024-03</c:v>
                </c:pt>
                <c:pt idx="3">
                  <c:v>2024-04</c:v>
                </c:pt>
                <c:pt idx="4">
                  <c:v>2024-05</c:v>
                </c:pt>
                <c:pt idx="5">
                  <c:v>2024-06</c:v>
                </c:pt>
                <c:pt idx="6">
                  <c:v>2024-07</c:v>
                </c:pt>
                <c:pt idx="7">
                  <c:v>2024-08</c:v>
                </c:pt>
                <c:pt idx="8">
                  <c:v>2024-09</c:v>
                </c:pt>
                <c:pt idx="9">
                  <c:v>2024-10</c:v>
                </c:pt>
                <c:pt idx="10">
                  <c:v>2024-11</c:v>
                </c:pt>
                <c:pt idx="11">
                  <c:v>2024-12</c:v>
                </c:pt>
                <c:pt idx="12">
                  <c:v>2025-01</c:v>
                </c:pt>
                <c:pt idx="13">
                  <c:v>2025-02</c:v>
                </c:pt>
                <c:pt idx="14">
                  <c:v>2025-03</c:v>
                </c:pt>
                <c:pt idx="15">
                  <c:v>2025-04</c:v>
                </c:pt>
                <c:pt idx="16">
                  <c:v>2025-05</c:v>
                </c:pt>
                <c:pt idx="17">
                  <c:v>2025-06</c:v>
                </c:pt>
                <c:pt idx="18">
                  <c:v>2025-07</c:v>
                </c:pt>
                <c:pt idx="19">
                  <c:v>2025-08</c:v>
                </c:pt>
                <c:pt idx="20">
                  <c:v>2025-09</c:v>
                </c:pt>
                <c:pt idx="21">
                  <c:v>2025-10</c:v>
                </c:pt>
                <c:pt idx="22">
                  <c:v>2025-11</c:v>
                </c:pt>
                <c:pt idx="23">
                  <c:v>2025-12</c:v>
                </c:pt>
                <c:pt idx="24">
                  <c:v>2026-01</c:v>
                </c:pt>
              </c:strCache>
            </c:strRef>
          </c:cat>
          <c:val>
            <c:numRef>
              <c:f>Data_StockTrend!$C$2:$C$26</c:f>
              <c:numCache>
                <c:formatCode>General</c:formatCode>
                <c:ptCount val="25"/>
                <c:pt idx="0">
                  <c:v>67</c:v>
                </c:pt>
                <c:pt idx="1">
                  <c:v>67</c:v>
                </c:pt>
                <c:pt idx="2">
                  <c:v>67</c:v>
                </c:pt>
                <c:pt idx="3">
                  <c:v>67</c:v>
                </c:pt>
                <c:pt idx="4">
                  <c:v>67</c:v>
                </c:pt>
                <c:pt idx="5">
                  <c:v>67</c:v>
                </c:pt>
                <c:pt idx="6">
                  <c:v>67</c:v>
                </c:pt>
                <c:pt idx="7">
                  <c:v>67</c:v>
                </c:pt>
                <c:pt idx="8">
                  <c:v>67</c:v>
                </c:pt>
                <c:pt idx="9">
                  <c:v>67</c:v>
                </c:pt>
                <c:pt idx="10">
                  <c:v>67</c:v>
                </c:pt>
                <c:pt idx="11">
                  <c:v>67</c:v>
                </c:pt>
                <c:pt idx="12">
                  <c:v>67</c:v>
                </c:pt>
                <c:pt idx="13">
                  <c:v>67</c:v>
                </c:pt>
                <c:pt idx="14">
                  <c:v>67</c:v>
                </c:pt>
                <c:pt idx="15">
                  <c:v>67</c:v>
                </c:pt>
                <c:pt idx="16">
                  <c:v>67</c:v>
                </c:pt>
                <c:pt idx="17">
                  <c:v>67</c:v>
                </c:pt>
                <c:pt idx="18">
                  <c:v>67</c:v>
                </c:pt>
                <c:pt idx="19">
                  <c:v>67</c:v>
                </c:pt>
                <c:pt idx="20">
                  <c:v>67</c:v>
                </c:pt>
                <c:pt idx="21">
                  <c:v>67</c:v>
                </c:pt>
                <c:pt idx="22">
                  <c:v>67</c:v>
                </c:pt>
                <c:pt idx="23">
                  <c:v>67</c:v>
                </c:pt>
                <c:pt idx="24">
                  <c:v>67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2659353"/>
        <c:axId val="79432804"/>
      </c:lineChart>
      <c:catAx>
        <c:axId val="126593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432804"/>
        <c:crosses val="autoZero"/>
        <c:auto val="1"/>
        <c:lblAlgn val="ctr"/>
        <c:lblOffset val="100"/>
        <c:noMultiLvlLbl val="0"/>
      </c:catAx>
      <c:valAx>
        <c:axId val="7943280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265935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130680</xdr:rowOff>
    </xdr:from>
    <xdr:to>
      <xdr:col>7</xdr:col>
      <xdr:colOff>262080</xdr:colOff>
      <xdr:row>27</xdr:row>
      <xdr:rowOff>153000</xdr:rowOff>
    </xdr:to>
    <xdr:graphicFrame>
      <xdr:nvGraphicFramePr>
        <xdr:cNvPr id="0" name="Chart 1"/>
        <xdr:cNvGraphicFramePr/>
      </xdr:nvGraphicFramePr>
      <xdr:xfrm>
        <a:off x="141120" y="2476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12</xdr:row>
      <xdr:rowOff>130680</xdr:rowOff>
    </xdr:from>
    <xdr:to>
      <xdr:col>13</xdr:col>
      <xdr:colOff>259920</xdr:colOff>
      <xdr:row>27</xdr:row>
      <xdr:rowOff>153000</xdr:rowOff>
    </xdr:to>
    <xdr:graphicFrame>
      <xdr:nvGraphicFramePr>
        <xdr:cNvPr id="1" name="Chart 2"/>
        <xdr:cNvGraphicFramePr/>
      </xdr:nvGraphicFramePr>
      <xdr:xfrm>
        <a:off x="4722480" y="247644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29</xdr:row>
      <xdr:rowOff>130680</xdr:rowOff>
    </xdr:from>
    <xdr:to>
      <xdr:col>7</xdr:col>
      <xdr:colOff>262080</xdr:colOff>
      <xdr:row>44</xdr:row>
      <xdr:rowOff>153000</xdr:rowOff>
    </xdr:to>
    <xdr:graphicFrame>
      <xdr:nvGraphicFramePr>
        <xdr:cNvPr id="2" name="Chart 3"/>
        <xdr:cNvGraphicFramePr/>
      </xdr:nvGraphicFramePr>
      <xdr:xfrm>
        <a:off x="141120" y="5715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29</xdr:row>
      <xdr:rowOff>130680</xdr:rowOff>
    </xdr:from>
    <xdr:to>
      <xdr:col>13</xdr:col>
      <xdr:colOff>259920</xdr:colOff>
      <xdr:row>44</xdr:row>
      <xdr:rowOff>153000</xdr:rowOff>
    </xdr:to>
    <xdr:graphicFrame>
      <xdr:nvGraphicFramePr>
        <xdr:cNvPr id="3" name="Chart 4"/>
        <xdr:cNvGraphicFramePr/>
      </xdr:nvGraphicFramePr>
      <xdr:xfrm>
        <a:off x="4722480" y="57150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3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3"/>
      <c r="D5" s="3" t="s">
        <v>3</v>
      </c>
      <c r="E5" s="3"/>
      <c r="F5" s="4" t="s">
        <v>4</v>
      </c>
      <c r="G5" s="4"/>
      <c r="H5" s="5" t="s">
        <v>5</v>
      </c>
      <c r="I5" s="5"/>
      <c r="J5" s="6" t="s">
        <v>6</v>
      </c>
      <c r="K5" s="6"/>
    </row>
    <row r="6" customFormat="false" ht="15" hidden="false" customHeight="false" outlineLevel="0" collapsed="false">
      <c r="B6" s="7" t="n">
        <f aca="false">Data_KPI!A2</f>
        <v>120000</v>
      </c>
      <c r="C6" s="7"/>
      <c r="D6" s="8" t="n">
        <f aca="false">Data_KPI!B2/100</f>
        <v>0.653</v>
      </c>
      <c r="E6" s="8"/>
      <c r="F6" s="9" t="n">
        <f aca="false">Data_KPI!C2/100</f>
        <v>0.298</v>
      </c>
      <c r="G6" s="9"/>
      <c r="H6" s="10" t="n">
        <f aca="false">Data_KPI!D2/100</f>
        <v>0.03</v>
      </c>
      <c r="I6" s="10"/>
      <c r="J6" s="11" t="n">
        <f aca="false">Data_KPI!F2</f>
        <v>1.64</v>
      </c>
      <c r="K6" s="11"/>
    </row>
    <row r="7" customFormat="false" ht="15" hidden="false" customHeight="false" outlineLevel="0" collapsed="false">
      <c r="B7" s="7"/>
      <c r="C7" s="7"/>
      <c r="D7" s="8"/>
      <c r="E7" s="8"/>
      <c r="F7" s="9"/>
      <c r="G7" s="9"/>
      <c r="H7" s="10"/>
      <c r="I7" s="10"/>
      <c r="J7" s="11"/>
      <c r="K7" s="11"/>
    </row>
    <row r="10" customFormat="false" ht="15" hidden="false" customHeight="false" outlineLevel="0" collapsed="false">
      <c r="B10" s="12" t="s">
        <v>7</v>
      </c>
      <c r="D10" s="12" t="s">
        <v>8</v>
      </c>
      <c r="F10" s="12" t="s">
        <v>9</v>
      </c>
      <c r="H10" s="12" t="s">
        <v>10</v>
      </c>
    </row>
    <row r="11" customFormat="false" ht="15" hidden="false" customHeight="false" outlineLevel="0" collapsed="false">
      <c r="B11" s="13" t="str">
        <f aca="false">INDEX(Data_SupplierDelays!A2:A21, MATCH(MAX(Data_SupplierDelays!D2:D21), Data_SupplierDelays!D2:D21, 0))</f>
        <v>Supplier 041</v>
      </c>
      <c r="D11" s="14" t="str">
        <f aca="false">INDEX(Data_HighDemand!A2:A21, MATCH(MAX(Data_HighDemand!D2:D21), Data_HighDemand!D2:D21, 0))</f>
        <v>Product 0247</v>
      </c>
      <c r="F11" s="15" t="str">
        <f aca="false">INDEX(Data_Fulfillment!A2:A13, MATCH(MIN(Data_Fulfillment!F2:F13), Data_Fulfillment!F2:F13, 0))</f>
        <v>Warehouse A</v>
      </c>
      <c r="H11" s="13" t="n">
        <f aca="false">COUNTIF(Data_Shortages!G2:G26, "STOCK-OUT")</f>
        <v>18</v>
      </c>
    </row>
    <row r="48" customFormat="false" ht="15" hidden="false" customHeight="false" outlineLevel="0" collapsed="false">
      <c r="B48" s="16" t="s">
        <v>11</v>
      </c>
    </row>
  </sheetData>
  <mergeCells count="10">
    <mergeCell ref="B5:C5"/>
    <mergeCell ref="D5:E5"/>
    <mergeCell ref="F5:G5"/>
    <mergeCell ref="H5:I5"/>
    <mergeCell ref="J5:K5"/>
    <mergeCell ref="B6:C7"/>
    <mergeCell ref="D6:E7"/>
    <mergeCell ref="F6:G7"/>
    <mergeCell ref="H6:I7"/>
    <mergeCell ref="J6:K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7" t="s">
        <v>12</v>
      </c>
      <c r="B1" s="17" t="s">
        <v>13</v>
      </c>
      <c r="C1" s="17" t="s">
        <v>14</v>
      </c>
      <c r="D1" s="17" t="s">
        <v>15</v>
      </c>
      <c r="E1" s="17" t="s">
        <v>16</v>
      </c>
      <c r="F1" s="17" t="s">
        <v>17</v>
      </c>
    </row>
    <row r="2" customFormat="false" ht="15" hidden="false" customHeight="false" outlineLevel="0" collapsed="false">
      <c r="A2" s="18" t="n">
        <v>120000</v>
      </c>
      <c r="B2" s="18" t="n">
        <v>65.3</v>
      </c>
      <c r="C2" s="18" t="n">
        <v>29.8</v>
      </c>
      <c r="D2" s="18" t="n">
        <v>3</v>
      </c>
      <c r="E2" s="18" t="n">
        <v>1.9</v>
      </c>
      <c r="F2" s="18" t="n">
        <v>1.64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7" t="s">
        <v>18</v>
      </c>
      <c r="B1" s="17" t="s">
        <v>19</v>
      </c>
      <c r="C1" s="17" t="s">
        <v>12</v>
      </c>
      <c r="D1" s="17" t="s">
        <v>20</v>
      </c>
      <c r="E1" s="17" t="s">
        <v>21</v>
      </c>
      <c r="F1" s="17" t="s">
        <v>13</v>
      </c>
    </row>
    <row r="2" customFormat="false" ht="15" hidden="false" customHeight="false" outlineLevel="0" collapsed="false">
      <c r="A2" s="18" t="s">
        <v>22</v>
      </c>
      <c r="B2" s="18" t="s">
        <v>23</v>
      </c>
      <c r="C2" s="18" t="n">
        <v>1975</v>
      </c>
      <c r="D2" s="18" t="n">
        <v>80.1</v>
      </c>
      <c r="E2" s="18" t="n">
        <v>6.2</v>
      </c>
      <c r="F2" s="18" t="n">
        <v>15.7</v>
      </c>
    </row>
    <row r="3" customFormat="false" ht="15" hidden="false" customHeight="false" outlineLevel="0" collapsed="false">
      <c r="A3" s="18" t="s">
        <v>24</v>
      </c>
      <c r="B3" s="18" t="s">
        <v>25</v>
      </c>
      <c r="C3" s="18" t="n">
        <v>1963</v>
      </c>
      <c r="D3" s="18" t="n">
        <v>78.7</v>
      </c>
      <c r="E3" s="18" t="n">
        <v>6.5</v>
      </c>
      <c r="F3" s="18" t="n">
        <v>15.4</v>
      </c>
    </row>
    <row r="4" customFormat="false" ht="15" hidden="false" customHeight="false" outlineLevel="0" collapsed="false">
      <c r="A4" s="18" t="s">
        <v>26</v>
      </c>
      <c r="B4" s="18" t="s">
        <v>25</v>
      </c>
      <c r="C4" s="18" t="n">
        <v>2007</v>
      </c>
      <c r="D4" s="18" t="n">
        <v>78.6</v>
      </c>
      <c r="E4" s="18" t="n">
        <v>6.2</v>
      </c>
      <c r="F4" s="18" t="n">
        <v>16</v>
      </c>
    </row>
    <row r="5" customFormat="false" ht="15" hidden="false" customHeight="false" outlineLevel="0" collapsed="false">
      <c r="A5" s="18" t="s">
        <v>27</v>
      </c>
      <c r="B5" s="18" t="s">
        <v>28</v>
      </c>
      <c r="C5" s="18" t="n">
        <v>2033</v>
      </c>
      <c r="D5" s="18" t="n">
        <v>68.7</v>
      </c>
      <c r="E5" s="18" t="n">
        <v>4.4</v>
      </c>
      <c r="F5" s="18" t="n">
        <v>26.2</v>
      </c>
    </row>
    <row r="6" customFormat="false" ht="15" hidden="false" customHeight="false" outlineLevel="0" collapsed="false">
      <c r="A6" s="18" t="s">
        <v>29</v>
      </c>
      <c r="B6" s="18" t="s">
        <v>28</v>
      </c>
      <c r="C6" s="18" t="n">
        <v>2000</v>
      </c>
      <c r="D6" s="18" t="n">
        <v>67.9</v>
      </c>
      <c r="E6" s="18" t="n">
        <v>4.3</v>
      </c>
      <c r="F6" s="18" t="n">
        <v>26.8</v>
      </c>
    </row>
    <row r="7" customFormat="false" ht="15" hidden="false" customHeight="false" outlineLevel="0" collapsed="false">
      <c r="A7" s="18" t="s">
        <v>30</v>
      </c>
      <c r="B7" s="18" t="s">
        <v>31</v>
      </c>
      <c r="C7" s="18" t="n">
        <v>1959</v>
      </c>
      <c r="D7" s="18" t="n">
        <v>67</v>
      </c>
      <c r="E7" s="18" t="n">
        <v>4.1</v>
      </c>
      <c r="F7" s="18" t="n">
        <v>28.1</v>
      </c>
    </row>
    <row r="8" customFormat="false" ht="15" hidden="false" customHeight="false" outlineLevel="0" collapsed="false">
      <c r="A8" s="18" t="s">
        <v>32</v>
      </c>
      <c r="B8" s="18" t="s">
        <v>23</v>
      </c>
      <c r="C8" s="18" t="n">
        <v>1929</v>
      </c>
      <c r="D8" s="18" t="n">
        <v>66.5</v>
      </c>
      <c r="E8" s="18" t="n">
        <v>4</v>
      </c>
      <c r="F8" s="18" t="n">
        <v>28.4</v>
      </c>
    </row>
    <row r="9" customFormat="false" ht="15" hidden="false" customHeight="false" outlineLevel="0" collapsed="false">
      <c r="A9" s="18" t="s">
        <v>33</v>
      </c>
      <c r="B9" s="18" t="s">
        <v>23</v>
      </c>
      <c r="C9" s="18" t="n">
        <v>2013</v>
      </c>
      <c r="D9" s="18" t="n">
        <v>66.2</v>
      </c>
      <c r="E9" s="18" t="n">
        <v>4</v>
      </c>
      <c r="F9" s="18" t="n">
        <v>28.9</v>
      </c>
    </row>
    <row r="10" customFormat="false" ht="15" hidden="false" customHeight="false" outlineLevel="0" collapsed="false">
      <c r="A10" s="18" t="s">
        <v>34</v>
      </c>
      <c r="B10" s="18" t="s">
        <v>35</v>
      </c>
      <c r="C10" s="18" t="n">
        <v>1963</v>
      </c>
      <c r="D10" s="18" t="n">
        <v>65</v>
      </c>
      <c r="E10" s="18" t="n">
        <v>3.8</v>
      </c>
      <c r="F10" s="18" t="n">
        <v>30.2</v>
      </c>
    </row>
    <row r="11" customFormat="false" ht="15" hidden="false" customHeight="false" outlineLevel="0" collapsed="false">
      <c r="A11" s="18" t="s">
        <v>36</v>
      </c>
      <c r="B11" s="18" t="s">
        <v>23</v>
      </c>
      <c r="C11" s="18" t="n">
        <v>1934</v>
      </c>
      <c r="D11" s="18" t="n">
        <v>64.3</v>
      </c>
      <c r="E11" s="18" t="n">
        <v>3.8</v>
      </c>
      <c r="F11" s="18" t="n">
        <v>31.1</v>
      </c>
    </row>
    <row r="12" customFormat="false" ht="15" hidden="false" customHeight="false" outlineLevel="0" collapsed="false">
      <c r="A12" s="18" t="s">
        <v>37</v>
      </c>
      <c r="B12" s="18" t="s">
        <v>31</v>
      </c>
      <c r="C12" s="18" t="n">
        <v>1941</v>
      </c>
      <c r="D12" s="18" t="n">
        <v>61.2</v>
      </c>
      <c r="E12" s="18" t="n">
        <v>3.5</v>
      </c>
      <c r="F12" s="18" t="n">
        <v>33.5</v>
      </c>
    </row>
    <row r="13" customFormat="false" ht="15" hidden="false" customHeight="false" outlineLevel="0" collapsed="false">
      <c r="A13" s="18" t="s">
        <v>38</v>
      </c>
      <c r="B13" s="18" t="s">
        <v>28</v>
      </c>
      <c r="C13" s="18" t="n">
        <v>2032</v>
      </c>
      <c r="D13" s="18" t="n">
        <v>56.9</v>
      </c>
      <c r="E13" s="18" t="n">
        <v>3.1</v>
      </c>
      <c r="F13" s="18" t="n">
        <v>38</v>
      </c>
    </row>
    <row r="14" customFormat="false" ht="15" hidden="false" customHeight="false" outlineLevel="0" collapsed="false">
      <c r="A14" s="18" t="s">
        <v>39</v>
      </c>
      <c r="B14" s="18" t="s">
        <v>35</v>
      </c>
      <c r="C14" s="18" t="n">
        <v>1966</v>
      </c>
      <c r="D14" s="18" t="n">
        <v>56.6</v>
      </c>
      <c r="E14" s="18" t="n">
        <v>3.1</v>
      </c>
      <c r="F14" s="18" t="n">
        <v>38.9</v>
      </c>
    </row>
    <row r="15" customFormat="false" ht="15" hidden="false" customHeight="false" outlineLevel="0" collapsed="false">
      <c r="A15" s="18" t="s">
        <v>40</v>
      </c>
      <c r="B15" s="18" t="s">
        <v>25</v>
      </c>
      <c r="C15" s="18" t="n">
        <v>2084</v>
      </c>
      <c r="D15" s="18" t="n">
        <v>56</v>
      </c>
      <c r="E15" s="18" t="n">
        <v>2.9</v>
      </c>
      <c r="F15" s="18" t="n">
        <v>39.3</v>
      </c>
    </row>
    <row r="16" customFormat="false" ht="15" hidden="false" customHeight="false" outlineLevel="0" collapsed="false">
      <c r="A16" s="18" t="s">
        <v>41</v>
      </c>
      <c r="B16" s="18" t="s">
        <v>35</v>
      </c>
      <c r="C16" s="18" t="n">
        <v>1978</v>
      </c>
      <c r="D16" s="18" t="n">
        <v>55.1</v>
      </c>
      <c r="E16" s="18" t="n">
        <v>3</v>
      </c>
      <c r="F16" s="18" t="n">
        <v>39.9</v>
      </c>
    </row>
    <row r="17" customFormat="false" ht="15" hidden="false" customHeight="false" outlineLevel="0" collapsed="false">
      <c r="A17" s="18" t="s">
        <v>42</v>
      </c>
      <c r="B17" s="18" t="s">
        <v>28</v>
      </c>
      <c r="C17" s="18" t="n">
        <v>1999</v>
      </c>
      <c r="D17" s="18" t="n">
        <v>53.1</v>
      </c>
      <c r="E17" s="18" t="n">
        <v>2.8</v>
      </c>
      <c r="F17" s="18" t="n">
        <v>42.2</v>
      </c>
    </row>
    <row r="18" customFormat="false" ht="15" hidden="false" customHeight="false" outlineLevel="0" collapsed="false">
      <c r="A18" s="18" t="s">
        <v>43</v>
      </c>
      <c r="B18" s="18" t="s">
        <v>28</v>
      </c>
      <c r="C18" s="18" t="n">
        <v>1967</v>
      </c>
      <c r="D18" s="18" t="n">
        <v>53</v>
      </c>
      <c r="E18" s="18" t="n">
        <v>2.7</v>
      </c>
      <c r="F18" s="18" t="n">
        <v>41.7</v>
      </c>
    </row>
    <row r="19" customFormat="false" ht="15" hidden="false" customHeight="false" outlineLevel="0" collapsed="false">
      <c r="A19" s="18" t="s">
        <v>44</v>
      </c>
      <c r="B19" s="18" t="s">
        <v>28</v>
      </c>
      <c r="C19" s="18" t="n">
        <v>2037</v>
      </c>
      <c r="D19" s="18" t="n">
        <v>46.2</v>
      </c>
      <c r="E19" s="18" t="n">
        <v>2.2</v>
      </c>
      <c r="F19" s="18" t="n">
        <v>49.1</v>
      </c>
    </row>
    <row r="20" customFormat="false" ht="15" hidden="false" customHeight="false" outlineLevel="0" collapsed="false">
      <c r="A20" s="18" t="s">
        <v>45</v>
      </c>
      <c r="B20" s="18" t="s">
        <v>31</v>
      </c>
      <c r="C20" s="18" t="n">
        <v>1966</v>
      </c>
      <c r="D20" s="18" t="n">
        <v>46.1</v>
      </c>
      <c r="E20" s="18" t="n">
        <v>2.2</v>
      </c>
      <c r="F20" s="18" t="n">
        <v>49.2</v>
      </c>
    </row>
    <row r="21" customFormat="false" ht="15" hidden="false" customHeight="false" outlineLevel="0" collapsed="false">
      <c r="A21" s="18" t="s">
        <v>46</v>
      </c>
      <c r="B21" s="18" t="s">
        <v>25</v>
      </c>
      <c r="C21" s="18" t="n">
        <v>2118</v>
      </c>
      <c r="D21" s="18" t="n">
        <v>45.3</v>
      </c>
      <c r="E21" s="18" t="n">
        <v>2.2</v>
      </c>
      <c r="F21" s="18" t="n">
        <v>49.2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21"/>
    <col collapsed="false" customWidth="true" hidden="false" outlineLevel="0" max="5" min="5" style="0" width="15"/>
    <col collapsed="false" customWidth="true" hidden="false" outlineLevel="0" max="6" min="6" style="0" width="24"/>
  </cols>
  <sheetData>
    <row r="1" customFormat="false" ht="15" hidden="false" customHeight="false" outlineLevel="0" collapsed="false">
      <c r="A1" s="17" t="s">
        <v>47</v>
      </c>
      <c r="B1" s="17" t="s">
        <v>48</v>
      </c>
      <c r="C1" s="17" t="s">
        <v>49</v>
      </c>
      <c r="D1" s="17" t="s">
        <v>50</v>
      </c>
      <c r="E1" s="17" t="s">
        <v>51</v>
      </c>
      <c r="F1" s="17" t="s">
        <v>52</v>
      </c>
    </row>
    <row r="2" customFormat="false" ht="15" hidden="false" customHeight="false" outlineLevel="0" collapsed="false">
      <c r="A2" s="18" t="s">
        <v>53</v>
      </c>
      <c r="B2" s="18" t="s">
        <v>54</v>
      </c>
      <c r="C2" s="18" t="n">
        <v>13789</v>
      </c>
      <c r="D2" s="18" t="n">
        <v>3469586</v>
      </c>
      <c r="E2" s="18" t="n">
        <v>301576415.12</v>
      </c>
      <c r="F2" s="18" t="n">
        <v>31.9</v>
      </c>
    </row>
    <row r="3" customFormat="false" ht="15" hidden="false" customHeight="false" outlineLevel="0" collapsed="false">
      <c r="A3" s="18" t="s">
        <v>55</v>
      </c>
      <c r="B3" s="18" t="s">
        <v>56</v>
      </c>
      <c r="C3" s="18" t="n">
        <v>4901</v>
      </c>
      <c r="D3" s="18" t="n">
        <v>1235545</v>
      </c>
      <c r="E3" s="18" t="n">
        <v>103563381.9</v>
      </c>
      <c r="F3" s="18" t="n">
        <v>30.7</v>
      </c>
    </row>
    <row r="4" customFormat="false" ht="15" hidden="false" customHeight="false" outlineLevel="0" collapsed="false">
      <c r="A4" s="18" t="s">
        <v>57</v>
      </c>
      <c r="B4" s="18" t="s">
        <v>56</v>
      </c>
      <c r="C4" s="18" t="n">
        <v>3323</v>
      </c>
      <c r="D4" s="18" t="n">
        <v>825959</v>
      </c>
      <c r="E4" s="18" t="n">
        <v>105417147.17</v>
      </c>
      <c r="F4" s="18" t="n">
        <v>32.6</v>
      </c>
    </row>
    <row r="5" customFormat="false" ht="15" hidden="false" customHeight="false" outlineLevel="0" collapsed="false">
      <c r="A5" s="18" t="s">
        <v>58</v>
      </c>
      <c r="B5" s="18" t="s">
        <v>59</v>
      </c>
      <c r="C5" s="18" t="n">
        <v>1932</v>
      </c>
      <c r="D5" s="18" t="n">
        <v>483396</v>
      </c>
      <c r="E5" s="18" t="n">
        <v>38947215.72</v>
      </c>
      <c r="F5" s="18" t="n">
        <v>33.1</v>
      </c>
    </row>
    <row r="6" customFormat="false" ht="15" hidden="false" customHeight="false" outlineLevel="0" collapsed="false">
      <c r="A6" s="18" t="s">
        <v>60</v>
      </c>
      <c r="B6" s="18" t="s">
        <v>61</v>
      </c>
      <c r="C6" s="18" t="n">
        <v>1765</v>
      </c>
      <c r="D6" s="18" t="n">
        <v>443204</v>
      </c>
      <c r="E6" s="18" t="n">
        <v>24376220</v>
      </c>
      <c r="F6" s="18" t="n">
        <v>32.6</v>
      </c>
    </row>
    <row r="7" customFormat="false" ht="15" hidden="false" customHeight="false" outlineLevel="0" collapsed="false">
      <c r="A7" s="18" t="s">
        <v>62</v>
      </c>
      <c r="B7" s="18" t="s">
        <v>63</v>
      </c>
      <c r="C7" s="18" t="n">
        <v>1672</v>
      </c>
      <c r="D7" s="18" t="n">
        <v>439985</v>
      </c>
      <c r="E7" s="18" t="n">
        <v>77463759.1</v>
      </c>
      <c r="F7" s="18" t="n">
        <v>31.7</v>
      </c>
    </row>
    <row r="8" customFormat="false" ht="15" hidden="false" customHeight="false" outlineLevel="0" collapsed="false">
      <c r="A8" s="18" t="s">
        <v>64</v>
      </c>
      <c r="B8" s="18" t="s">
        <v>56</v>
      </c>
      <c r="C8" s="18" t="n">
        <v>1756</v>
      </c>
      <c r="D8" s="18" t="n">
        <v>438732</v>
      </c>
      <c r="E8" s="18" t="n">
        <v>12692516.76</v>
      </c>
      <c r="F8" s="18" t="n">
        <v>31.3</v>
      </c>
    </row>
    <row r="9" customFormat="false" ht="15" hidden="false" customHeight="false" outlineLevel="0" collapsed="false">
      <c r="A9" s="18" t="s">
        <v>65</v>
      </c>
      <c r="B9" s="18" t="s">
        <v>63</v>
      </c>
      <c r="C9" s="18" t="n">
        <v>1723</v>
      </c>
      <c r="D9" s="18" t="n">
        <v>426213</v>
      </c>
      <c r="E9" s="18" t="n">
        <v>20074632.3</v>
      </c>
      <c r="F9" s="18" t="n">
        <v>31.2</v>
      </c>
    </row>
    <row r="10" customFormat="false" ht="15" hidden="false" customHeight="false" outlineLevel="0" collapsed="false">
      <c r="A10" s="18" t="s">
        <v>66</v>
      </c>
      <c r="B10" s="18" t="s">
        <v>67</v>
      </c>
      <c r="C10" s="18" t="n">
        <v>1729</v>
      </c>
      <c r="D10" s="18" t="n">
        <v>424707</v>
      </c>
      <c r="E10" s="18" t="n">
        <v>43239419.67</v>
      </c>
      <c r="F10" s="18" t="n">
        <v>31.5</v>
      </c>
    </row>
    <row r="11" customFormat="false" ht="15" hidden="false" customHeight="false" outlineLevel="0" collapsed="false">
      <c r="A11" s="18" t="s">
        <v>68</v>
      </c>
      <c r="B11" s="18" t="s">
        <v>56</v>
      </c>
      <c r="C11" s="18" t="n">
        <v>1676</v>
      </c>
      <c r="D11" s="18" t="n">
        <v>421067</v>
      </c>
      <c r="E11" s="18" t="n">
        <v>32249521.53</v>
      </c>
      <c r="F11" s="18" t="n">
        <v>31.1</v>
      </c>
    </row>
    <row r="12" customFormat="false" ht="15" hidden="false" customHeight="false" outlineLevel="0" collapsed="false">
      <c r="A12" s="18" t="s">
        <v>69</v>
      </c>
      <c r="B12" s="18" t="s">
        <v>59</v>
      </c>
      <c r="C12" s="18" t="n">
        <v>1636</v>
      </c>
      <c r="D12" s="18" t="n">
        <v>407526</v>
      </c>
      <c r="E12" s="18" t="n">
        <v>30535923.18</v>
      </c>
      <c r="F12" s="18" t="n">
        <v>30.3</v>
      </c>
    </row>
    <row r="13" customFormat="false" ht="15" hidden="false" customHeight="false" outlineLevel="0" collapsed="false">
      <c r="A13" s="18" t="s">
        <v>70</v>
      </c>
      <c r="B13" s="18" t="s">
        <v>71</v>
      </c>
      <c r="C13" s="18" t="n">
        <v>1587</v>
      </c>
      <c r="D13" s="18" t="n">
        <v>403593</v>
      </c>
      <c r="E13" s="18" t="n">
        <v>51926275.38</v>
      </c>
      <c r="F13" s="18" t="n">
        <v>30.9</v>
      </c>
    </row>
    <row r="14" customFormat="false" ht="15" hidden="false" customHeight="false" outlineLevel="0" collapsed="false">
      <c r="A14" s="18" t="s">
        <v>72</v>
      </c>
      <c r="B14" s="18" t="s">
        <v>73</v>
      </c>
      <c r="C14" s="18" t="n">
        <v>1579</v>
      </c>
      <c r="D14" s="18" t="n">
        <v>392267</v>
      </c>
      <c r="E14" s="18" t="n">
        <v>19868323.55</v>
      </c>
      <c r="F14" s="18" t="n">
        <v>31.1</v>
      </c>
    </row>
    <row r="15" customFormat="false" ht="15" hidden="false" customHeight="false" outlineLevel="0" collapsed="false">
      <c r="A15" s="18" t="s">
        <v>74</v>
      </c>
      <c r="B15" s="18" t="s">
        <v>71</v>
      </c>
      <c r="C15" s="18" t="n">
        <v>1516</v>
      </c>
      <c r="D15" s="18" t="n">
        <v>375192</v>
      </c>
      <c r="E15" s="18" t="n">
        <v>40659557.04</v>
      </c>
      <c r="F15" s="18" t="n">
        <v>33.8</v>
      </c>
    </row>
    <row r="16" customFormat="false" ht="15" hidden="false" customHeight="false" outlineLevel="0" collapsed="false">
      <c r="A16" s="18" t="s">
        <v>75</v>
      </c>
      <c r="B16" s="18" t="s">
        <v>56</v>
      </c>
      <c r="C16" s="18" t="n">
        <v>1427</v>
      </c>
      <c r="D16" s="18" t="n">
        <v>358276</v>
      </c>
      <c r="E16" s="18" t="n">
        <v>22603632.84</v>
      </c>
      <c r="F16" s="18" t="n">
        <v>33.3</v>
      </c>
    </row>
    <row r="17" customFormat="false" ht="15" hidden="false" customHeight="false" outlineLevel="0" collapsed="false">
      <c r="A17" s="18" t="s">
        <v>76</v>
      </c>
      <c r="B17" s="18" t="s">
        <v>59</v>
      </c>
      <c r="C17" s="18" t="n">
        <v>1321</v>
      </c>
      <c r="D17" s="18" t="n">
        <v>339213</v>
      </c>
      <c r="E17" s="18" t="n">
        <v>16791043.5</v>
      </c>
      <c r="F17" s="18" t="n">
        <v>33</v>
      </c>
    </row>
    <row r="18" customFormat="false" ht="15" hidden="false" customHeight="false" outlineLevel="0" collapsed="false">
      <c r="A18" s="18" t="s">
        <v>77</v>
      </c>
      <c r="B18" s="18" t="s">
        <v>61</v>
      </c>
      <c r="C18" s="18" t="n">
        <v>1262</v>
      </c>
      <c r="D18" s="18" t="n">
        <v>317473</v>
      </c>
      <c r="E18" s="18" t="n">
        <v>14076752.82</v>
      </c>
      <c r="F18" s="18" t="n">
        <v>32.7</v>
      </c>
    </row>
    <row r="19" customFormat="false" ht="15" hidden="false" customHeight="false" outlineLevel="0" collapsed="false">
      <c r="A19" s="18" t="s">
        <v>78</v>
      </c>
      <c r="B19" s="18" t="s">
        <v>59</v>
      </c>
      <c r="C19" s="18" t="n">
        <v>1247</v>
      </c>
      <c r="D19" s="18" t="n">
        <v>312800</v>
      </c>
      <c r="E19" s="18" t="n">
        <v>17588744</v>
      </c>
      <c r="F19" s="18" t="n">
        <v>35.8</v>
      </c>
    </row>
    <row r="20" customFormat="false" ht="15" hidden="false" customHeight="false" outlineLevel="0" collapsed="false">
      <c r="A20" s="18" t="s">
        <v>79</v>
      </c>
      <c r="B20" s="18" t="s">
        <v>71</v>
      </c>
      <c r="C20" s="18" t="n">
        <v>1217</v>
      </c>
      <c r="D20" s="18" t="n">
        <v>307378</v>
      </c>
      <c r="E20" s="18" t="n">
        <v>36255235.1</v>
      </c>
      <c r="F20" s="18" t="n">
        <v>32.9</v>
      </c>
    </row>
    <row r="21" customFormat="false" ht="15" hidden="false" customHeight="false" outlineLevel="0" collapsed="false">
      <c r="A21" s="18" t="s">
        <v>80</v>
      </c>
      <c r="B21" s="18" t="s">
        <v>61</v>
      </c>
      <c r="C21" s="18" t="n">
        <v>1188</v>
      </c>
      <c r="D21" s="18" t="n">
        <v>302213</v>
      </c>
      <c r="E21" s="18" t="n">
        <v>19852371.97</v>
      </c>
      <c r="F21" s="18" t="n">
        <v>30.5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29"/>
  </cols>
  <sheetData>
    <row r="1" customFormat="false" ht="15" hidden="false" customHeight="false" outlineLevel="0" collapsed="false">
      <c r="A1" s="17" t="s">
        <v>19</v>
      </c>
      <c r="B1" s="17" t="s">
        <v>81</v>
      </c>
      <c r="C1" s="17" t="s">
        <v>82</v>
      </c>
      <c r="D1" s="17" t="s">
        <v>83</v>
      </c>
    </row>
    <row r="2" customFormat="false" ht="15" hidden="false" customHeight="false" outlineLevel="0" collapsed="false">
      <c r="A2" s="18" t="s">
        <v>23</v>
      </c>
      <c r="B2" s="18" t="n">
        <v>22806</v>
      </c>
      <c r="C2" s="18" t="n">
        <v>30.6</v>
      </c>
      <c r="D2" s="18" t="n">
        <v>28.7</v>
      </c>
    </row>
    <row r="3" customFormat="false" ht="15" hidden="false" customHeight="false" outlineLevel="0" collapsed="false">
      <c r="A3" s="18" t="s">
        <v>31</v>
      </c>
      <c r="B3" s="18" t="n">
        <v>11158</v>
      </c>
      <c r="C3" s="18" t="n">
        <v>29.6</v>
      </c>
      <c r="D3" s="18" t="n">
        <v>27.8</v>
      </c>
    </row>
    <row r="4" customFormat="false" ht="15" hidden="false" customHeight="false" outlineLevel="0" collapsed="false">
      <c r="A4" s="18" t="s">
        <v>35</v>
      </c>
      <c r="B4" s="18" t="n">
        <v>32383</v>
      </c>
      <c r="C4" s="18" t="n">
        <v>28.3</v>
      </c>
      <c r="D4" s="18" t="n">
        <v>27</v>
      </c>
    </row>
    <row r="5" customFormat="false" ht="15" hidden="false" customHeight="false" outlineLevel="0" collapsed="false">
      <c r="A5" s="18" t="s">
        <v>28</v>
      </c>
      <c r="B5" s="18" t="n">
        <v>19106</v>
      </c>
      <c r="C5" s="18" t="n">
        <v>25.2</v>
      </c>
      <c r="D5" s="18" t="n">
        <v>23</v>
      </c>
    </row>
    <row r="6" customFormat="false" ht="15" hidden="false" customHeight="false" outlineLevel="0" collapsed="false">
      <c r="A6" s="18" t="s">
        <v>25</v>
      </c>
      <c r="B6" s="18" t="n">
        <v>28624</v>
      </c>
      <c r="C6" s="18" t="n">
        <v>23.7</v>
      </c>
      <c r="D6" s="18" t="n">
        <v>22.2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7" t="s">
        <v>84</v>
      </c>
      <c r="B1" s="17" t="s">
        <v>19</v>
      </c>
      <c r="C1" s="17" t="s">
        <v>12</v>
      </c>
      <c r="D1" s="17" t="s">
        <v>85</v>
      </c>
      <c r="E1" s="17" t="s">
        <v>86</v>
      </c>
      <c r="F1" s="17" t="s">
        <v>87</v>
      </c>
    </row>
    <row r="2" customFormat="false" ht="15" hidden="false" customHeight="false" outlineLevel="0" collapsed="false">
      <c r="A2" s="18" t="s">
        <v>88</v>
      </c>
      <c r="B2" s="18" t="s">
        <v>25</v>
      </c>
      <c r="C2" s="18" t="n">
        <v>10030</v>
      </c>
      <c r="D2" s="18" t="n">
        <v>2533545</v>
      </c>
      <c r="E2" s="18" t="n">
        <v>2278322</v>
      </c>
      <c r="F2" s="18" t="n">
        <v>89.9</v>
      </c>
    </row>
    <row r="3" customFormat="false" ht="15" hidden="false" customHeight="false" outlineLevel="0" collapsed="false">
      <c r="A3" s="18" t="s">
        <v>89</v>
      </c>
      <c r="B3" s="18" t="s">
        <v>31</v>
      </c>
      <c r="C3" s="18" t="n">
        <v>9989</v>
      </c>
      <c r="D3" s="18" t="n">
        <v>2519782</v>
      </c>
      <c r="E3" s="18" t="n">
        <v>2277532</v>
      </c>
      <c r="F3" s="18" t="n">
        <v>90.4</v>
      </c>
    </row>
    <row r="4" customFormat="false" ht="15" hidden="false" customHeight="false" outlineLevel="0" collapsed="false">
      <c r="A4" s="18" t="s">
        <v>90</v>
      </c>
      <c r="B4" s="18" t="s">
        <v>35</v>
      </c>
      <c r="C4" s="18" t="n">
        <v>10017</v>
      </c>
      <c r="D4" s="18" t="n">
        <v>2526137</v>
      </c>
      <c r="E4" s="18" t="n">
        <v>2283676</v>
      </c>
      <c r="F4" s="18" t="n">
        <v>90.4</v>
      </c>
    </row>
    <row r="5" customFormat="false" ht="15" hidden="false" customHeight="false" outlineLevel="0" collapsed="false">
      <c r="A5" s="18" t="s">
        <v>91</v>
      </c>
      <c r="B5" s="18" t="s">
        <v>25</v>
      </c>
      <c r="C5" s="18" t="n">
        <v>10079</v>
      </c>
      <c r="D5" s="18" t="n">
        <v>2541973</v>
      </c>
      <c r="E5" s="18" t="n">
        <v>2300841</v>
      </c>
      <c r="F5" s="18" t="n">
        <v>90.5</v>
      </c>
    </row>
    <row r="6" customFormat="false" ht="15" hidden="false" customHeight="false" outlineLevel="0" collapsed="false">
      <c r="A6" s="18" t="s">
        <v>92</v>
      </c>
      <c r="B6" s="18" t="s">
        <v>28</v>
      </c>
      <c r="C6" s="18" t="n">
        <v>10025</v>
      </c>
      <c r="D6" s="18" t="n">
        <v>2523264</v>
      </c>
      <c r="E6" s="18" t="n">
        <v>2282784</v>
      </c>
      <c r="F6" s="18" t="n">
        <v>90.5</v>
      </c>
    </row>
    <row r="7" customFormat="false" ht="15" hidden="false" customHeight="false" outlineLevel="0" collapsed="false">
      <c r="A7" s="18" t="s">
        <v>93</v>
      </c>
      <c r="B7" s="18" t="s">
        <v>31</v>
      </c>
      <c r="C7" s="18" t="n">
        <v>10164</v>
      </c>
      <c r="D7" s="18" t="n">
        <v>2558703</v>
      </c>
      <c r="E7" s="18" t="n">
        <v>2314739</v>
      </c>
      <c r="F7" s="18" t="n">
        <v>90.5</v>
      </c>
    </row>
    <row r="8" customFormat="false" ht="15" hidden="false" customHeight="false" outlineLevel="0" collapsed="false">
      <c r="A8" s="18" t="s">
        <v>94</v>
      </c>
      <c r="B8" s="18" t="s">
        <v>25</v>
      </c>
      <c r="C8" s="18" t="n">
        <v>9927</v>
      </c>
      <c r="D8" s="18" t="n">
        <v>2502216</v>
      </c>
      <c r="E8" s="18" t="n">
        <v>2264678</v>
      </c>
      <c r="F8" s="18" t="n">
        <v>90.5</v>
      </c>
    </row>
    <row r="9" customFormat="false" ht="15" hidden="false" customHeight="false" outlineLevel="0" collapsed="false">
      <c r="A9" s="18" t="s">
        <v>95</v>
      </c>
      <c r="B9" s="18" t="s">
        <v>31</v>
      </c>
      <c r="C9" s="18" t="n">
        <v>10043</v>
      </c>
      <c r="D9" s="18" t="n">
        <v>2527653</v>
      </c>
      <c r="E9" s="18" t="n">
        <v>2293651</v>
      </c>
      <c r="F9" s="18" t="n">
        <v>90.7</v>
      </c>
    </row>
    <row r="10" customFormat="false" ht="15" hidden="false" customHeight="false" outlineLevel="0" collapsed="false">
      <c r="A10" s="18" t="s">
        <v>96</v>
      </c>
      <c r="B10" s="18" t="s">
        <v>25</v>
      </c>
      <c r="C10" s="18" t="n">
        <v>9791</v>
      </c>
      <c r="D10" s="18" t="n">
        <v>2480028</v>
      </c>
      <c r="E10" s="18" t="n">
        <v>2249905</v>
      </c>
      <c r="F10" s="18" t="n">
        <v>90.7</v>
      </c>
    </row>
    <row r="11" customFormat="false" ht="15" hidden="false" customHeight="false" outlineLevel="0" collapsed="false">
      <c r="A11" s="18" t="s">
        <v>97</v>
      </c>
      <c r="B11" s="18" t="s">
        <v>35</v>
      </c>
      <c r="C11" s="18" t="n">
        <v>9874</v>
      </c>
      <c r="D11" s="18" t="n">
        <v>2476099</v>
      </c>
      <c r="E11" s="18" t="n">
        <v>2245610</v>
      </c>
      <c r="F11" s="18" t="n">
        <v>90.7</v>
      </c>
    </row>
    <row r="12" customFormat="false" ht="15" hidden="false" customHeight="false" outlineLevel="0" collapsed="false">
      <c r="A12" s="18" t="s">
        <v>98</v>
      </c>
      <c r="B12" s="18" t="s">
        <v>23</v>
      </c>
      <c r="C12" s="18" t="n">
        <v>10038</v>
      </c>
      <c r="D12" s="18" t="n">
        <v>2549787</v>
      </c>
      <c r="E12" s="18" t="n">
        <v>2318129</v>
      </c>
      <c r="F12" s="18" t="n">
        <v>90.9</v>
      </c>
    </row>
    <row r="13" customFormat="false" ht="15" hidden="false" customHeight="false" outlineLevel="0" collapsed="false">
      <c r="A13" s="18" t="s">
        <v>99</v>
      </c>
      <c r="B13" s="18" t="s">
        <v>28</v>
      </c>
      <c r="C13" s="18" t="n">
        <v>10023</v>
      </c>
      <c r="D13" s="18" t="n">
        <v>2517724</v>
      </c>
      <c r="E13" s="18" t="n">
        <v>2291451</v>
      </c>
      <c r="F13" s="18" t="n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7"/>
    <col collapsed="false" customWidth="true" hidden="false" outlineLevel="0" max="4" min="3" style="0" width="19"/>
  </cols>
  <sheetData>
    <row r="1" customFormat="false" ht="15" hidden="false" customHeight="false" outlineLevel="0" collapsed="false">
      <c r="A1" s="17" t="s">
        <v>100</v>
      </c>
      <c r="B1" s="17" t="s">
        <v>101</v>
      </c>
      <c r="C1" s="17" t="s">
        <v>102</v>
      </c>
      <c r="D1" s="17" t="s">
        <v>103</v>
      </c>
    </row>
    <row r="2" customFormat="false" ht="15" hidden="false" customHeight="false" outlineLevel="0" collapsed="false">
      <c r="A2" s="18" t="s">
        <v>104</v>
      </c>
      <c r="B2" s="18" t="n">
        <v>94</v>
      </c>
      <c r="C2" s="18" t="n">
        <v>67</v>
      </c>
      <c r="D2" s="18" t="n">
        <v>1.76</v>
      </c>
    </row>
    <row r="3" customFormat="false" ht="15" hidden="false" customHeight="false" outlineLevel="0" collapsed="false">
      <c r="A3" s="18" t="s">
        <v>105</v>
      </c>
      <c r="B3" s="18" t="n">
        <v>45</v>
      </c>
      <c r="C3" s="18" t="n">
        <v>67</v>
      </c>
      <c r="D3" s="18" t="n">
        <v>16.68</v>
      </c>
    </row>
    <row r="4" customFormat="false" ht="15" hidden="false" customHeight="false" outlineLevel="0" collapsed="false">
      <c r="A4" s="18" t="s">
        <v>106</v>
      </c>
      <c r="B4" s="18" t="n">
        <v>26</v>
      </c>
      <c r="C4" s="18" t="n">
        <v>67</v>
      </c>
      <c r="D4" s="18" t="n">
        <v>35.57</v>
      </c>
    </row>
    <row r="5" customFormat="false" ht="15" hidden="false" customHeight="false" outlineLevel="0" collapsed="false">
      <c r="A5" s="18" t="s">
        <v>107</v>
      </c>
      <c r="B5" s="18" t="n">
        <v>16</v>
      </c>
      <c r="C5" s="18" t="n">
        <v>67</v>
      </c>
      <c r="D5" s="18" t="n">
        <v>48.74</v>
      </c>
    </row>
    <row r="6" customFormat="false" ht="15" hidden="false" customHeight="false" outlineLevel="0" collapsed="false">
      <c r="A6" s="18" t="s">
        <v>108</v>
      </c>
      <c r="B6" s="18" t="n">
        <v>10</v>
      </c>
      <c r="C6" s="18" t="n">
        <v>67</v>
      </c>
      <c r="D6" s="18" t="n">
        <v>59.11</v>
      </c>
    </row>
    <row r="7" customFormat="false" ht="15" hidden="false" customHeight="false" outlineLevel="0" collapsed="false">
      <c r="A7" s="18" t="s">
        <v>109</v>
      </c>
      <c r="B7" s="18" t="n">
        <v>8</v>
      </c>
      <c r="C7" s="18" t="n">
        <v>67</v>
      </c>
      <c r="D7" s="18" t="n">
        <v>64.36</v>
      </c>
    </row>
    <row r="8" customFormat="false" ht="15" hidden="false" customHeight="false" outlineLevel="0" collapsed="false">
      <c r="A8" s="18" t="s">
        <v>110</v>
      </c>
      <c r="B8" s="18" t="n">
        <v>5</v>
      </c>
      <c r="C8" s="18" t="n">
        <v>67</v>
      </c>
      <c r="D8" s="18" t="n">
        <v>70.32</v>
      </c>
    </row>
    <row r="9" customFormat="false" ht="15" hidden="false" customHeight="false" outlineLevel="0" collapsed="false">
      <c r="A9" s="18" t="s">
        <v>111</v>
      </c>
      <c r="B9" s="18" t="n">
        <v>4</v>
      </c>
      <c r="C9" s="18" t="n">
        <v>67</v>
      </c>
      <c r="D9" s="18" t="n">
        <v>73.98</v>
      </c>
    </row>
    <row r="10" customFormat="false" ht="15" hidden="false" customHeight="false" outlineLevel="0" collapsed="false">
      <c r="A10" s="18" t="s">
        <v>112</v>
      </c>
      <c r="B10" s="18" t="n">
        <v>3</v>
      </c>
      <c r="C10" s="18" t="n">
        <v>67</v>
      </c>
      <c r="D10" s="18" t="n">
        <v>76.35</v>
      </c>
    </row>
    <row r="11" customFormat="false" ht="15" hidden="false" customHeight="false" outlineLevel="0" collapsed="false">
      <c r="A11" s="18" t="s">
        <v>113</v>
      </c>
      <c r="B11" s="18" t="n">
        <v>2</v>
      </c>
      <c r="C11" s="18" t="n">
        <v>67</v>
      </c>
      <c r="D11" s="18" t="n">
        <v>77.64</v>
      </c>
    </row>
    <row r="12" customFormat="false" ht="15" hidden="false" customHeight="false" outlineLevel="0" collapsed="false">
      <c r="A12" s="18" t="s">
        <v>114</v>
      </c>
      <c r="B12" s="18" t="n">
        <v>2</v>
      </c>
      <c r="C12" s="18" t="n">
        <v>67</v>
      </c>
      <c r="D12" s="18" t="n">
        <v>77.8</v>
      </c>
    </row>
    <row r="13" customFormat="false" ht="15" hidden="false" customHeight="false" outlineLevel="0" collapsed="false">
      <c r="A13" s="18" t="s">
        <v>115</v>
      </c>
      <c r="B13" s="18" t="n">
        <v>2</v>
      </c>
      <c r="C13" s="18" t="n">
        <v>67</v>
      </c>
      <c r="D13" s="18" t="n">
        <v>80.71</v>
      </c>
    </row>
    <row r="14" customFormat="false" ht="15" hidden="false" customHeight="false" outlineLevel="0" collapsed="false">
      <c r="A14" s="18" t="s">
        <v>116</v>
      </c>
      <c r="B14" s="18" t="n">
        <v>2</v>
      </c>
      <c r="C14" s="18" t="n">
        <v>67</v>
      </c>
      <c r="D14" s="18" t="n">
        <v>80.59</v>
      </c>
    </row>
    <row r="15" customFormat="false" ht="15" hidden="false" customHeight="false" outlineLevel="0" collapsed="false">
      <c r="A15" s="18" t="s">
        <v>117</v>
      </c>
      <c r="B15" s="18" t="n">
        <v>1</v>
      </c>
      <c r="C15" s="18" t="n">
        <v>67</v>
      </c>
      <c r="D15" s="18" t="n">
        <v>82.66</v>
      </c>
    </row>
    <row r="16" customFormat="false" ht="15" hidden="false" customHeight="false" outlineLevel="0" collapsed="false">
      <c r="A16" s="18" t="s">
        <v>118</v>
      </c>
      <c r="B16" s="18" t="n">
        <v>1</v>
      </c>
      <c r="C16" s="18" t="n">
        <v>67</v>
      </c>
      <c r="D16" s="18" t="n">
        <v>82.49</v>
      </c>
    </row>
    <row r="17" customFormat="false" ht="15" hidden="false" customHeight="false" outlineLevel="0" collapsed="false">
      <c r="A17" s="18" t="s">
        <v>119</v>
      </c>
      <c r="B17" s="18" t="n">
        <v>1</v>
      </c>
      <c r="C17" s="18" t="n">
        <v>67</v>
      </c>
      <c r="D17" s="18" t="n">
        <v>83.82</v>
      </c>
    </row>
    <row r="18" customFormat="false" ht="15" hidden="false" customHeight="false" outlineLevel="0" collapsed="false">
      <c r="A18" s="18" t="s">
        <v>120</v>
      </c>
      <c r="B18" s="18" t="n">
        <v>1</v>
      </c>
      <c r="C18" s="18" t="n">
        <v>67</v>
      </c>
      <c r="D18" s="18" t="n">
        <v>83.02</v>
      </c>
    </row>
    <row r="19" customFormat="false" ht="15" hidden="false" customHeight="false" outlineLevel="0" collapsed="false">
      <c r="A19" s="18" t="s">
        <v>121</v>
      </c>
      <c r="B19" s="18" t="n">
        <v>1</v>
      </c>
      <c r="C19" s="18" t="n">
        <v>67</v>
      </c>
      <c r="D19" s="18" t="n">
        <v>83.33</v>
      </c>
    </row>
    <row r="20" customFormat="false" ht="15" hidden="false" customHeight="false" outlineLevel="0" collapsed="false">
      <c r="A20" s="18" t="s">
        <v>122</v>
      </c>
      <c r="B20" s="18" t="n">
        <v>1</v>
      </c>
      <c r="C20" s="18" t="n">
        <v>67</v>
      </c>
      <c r="D20" s="18" t="n">
        <v>83.44</v>
      </c>
    </row>
    <row r="21" customFormat="false" ht="15" hidden="false" customHeight="false" outlineLevel="0" collapsed="false">
      <c r="A21" s="18" t="s">
        <v>123</v>
      </c>
      <c r="B21" s="18" t="n">
        <v>1</v>
      </c>
      <c r="C21" s="18" t="n">
        <v>67</v>
      </c>
      <c r="D21" s="18" t="n">
        <v>81.58</v>
      </c>
    </row>
    <row r="22" customFormat="false" ht="15" hidden="false" customHeight="false" outlineLevel="0" collapsed="false">
      <c r="A22" s="18" t="s">
        <v>124</v>
      </c>
      <c r="B22" s="18" t="n">
        <v>1</v>
      </c>
      <c r="C22" s="18" t="n">
        <v>67</v>
      </c>
      <c r="D22" s="18" t="n">
        <v>82.42</v>
      </c>
    </row>
    <row r="23" customFormat="false" ht="15" hidden="false" customHeight="false" outlineLevel="0" collapsed="false">
      <c r="A23" s="18" t="s">
        <v>125</v>
      </c>
      <c r="B23" s="18" t="n">
        <v>1</v>
      </c>
      <c r="C23" s="18" t="n">
        <v>67</v>
      </c>
      <c r="D23" s="18" t="n">
        <v>83.59</v>
      </c>
    </row>
    <row r="24" customFormat="false" ht="15" hidden="false" customHeight="false" outlineLevel="0" collapsed="false">
      <c r="A24" s="18" t="s">
        <v>126</v>
      </c>
      <c r="B24" s="18" t="n">
        <v>1</v>
      </c>
      <c r="C24" s="18" t="n">
        <v>67</v>
      </c>
      <c r="D24" s="18" t="n">
        <v>83.91</v>
      </c>
    </row>
    <row r="25" customFormat="false" ht="15" hidden="false" customHeight="false" outlineLevel="0" collapsed="false">
      <c r="A25" s="18" t="s">
        <v>127</v>
      </c>
      <c r="B25" s="18" t="n">
        <v>1</v>
      </c>
      <c r="C25" s="18" t="n">
        <v>67</v>
      </c>
      <c r="D25" s="18" t="n">
        <v>83.38</v>
      </c>
    </row>
    <row r="26" customFormat="false" ht="15" hidden="false" customHeight="false" outlineLevel="0" collapsed="false">
      <c r="A26" s="18" t="s">
        <v>128</v>
      </c>
      <c r="B26" s="18" t="n">
        <v>1</v>
      </c>
      <c r="C26" s="18" t="n">
        <v>67</v>
      </c>
      <c r="D26" s="18" t="n">
        <v>83.16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26"/>
    <col collapsed="false" customWidth="true" hidden="false" outlineLevel="0" max="7" min="7" style="0" width="18"/>
  </cols>
  <sheetData>
    <row r="1" customFormat="false" ht="15" hidden="false" customHeight="false" outlineLevel="0" collapsed="false">
      <c r="A1" s="17" t="s">
        <v>47</v>
      </c>
      <c r="B1" s="17" t="s">
        <v>84</v>
      </c>
      <c r="C1" s="17" t="s">
        <v>129</v>
      </c>
      <c r="D1" s="17" t="s">
        <v>130</v>
      </c>
      <c r="E1" s="17" t="s">
        <v>131</v>
      </c>
      <c r="F1" s="17" t="s">
        <v>132</v>
      </c>
      <c r="G1" s="17" t="s">
        <v>133</v>
      </c>
    </row>
    <row r="2" customFormat="false" ht="15" hidden="false" customHeight="false" outlineLevel="0" collapsed="false">
      <c r="A2" s="18" t="s">
        <v>53</v>
      </c>
      <c r="B2" s="18" t="s">
        <v>95</v>
      </c>
      <c r="C2" s="18" t="n">
        <v>0</v>
      </c>
      <c r="D2" s="18" t="n">
        <v>1052</v>
      </c>
      <c r="E2" s="18" t="n">
        <v>420</v>
      </c>
      <c r="F2" s="18" t="n">
        <v>-420</v>
      </c>
      <c r="G2" s="18" t="s">
        <v>134</v>
      </c>
    </row>
    <row r="3" customFormat="false" ht="15" hidden="false" customHeight="false" outlineLevel="0" collapsed="false">
      <c r="A3" s="18" t="s">
        <v>53</v>
      </c>
      <c r="B3" s="18" t="s">
        <v>91</v>
      </c>
      <c r="C3" s="18" t="n">
        <v>0</v>
      </c>
      <c r="D3" s="18" t="n">
        <v>1052</v>
      </c>
      <c r="E3" s="18" t="n">
        <v>420</v>
      </c>
      <c r="F3" s="18" t="n">
        <v>-420</v>
      </c>
      <c r="G3" s="18" t="s">
        <v>134</v>
      </c>
    </row>
    <row r="4" customFormat="false" ht="15" hidden="false" customHeight="false" outlineLevel="0" collapsed="false">
      <c r="A4" s="18" t="s">
        <v>53</v>
      </c>
      <c r="B4" s="18" t="s">
        <v>96</v>
      </c>
      <c r="C4" s="18" t="n">
        <v>0</v>
      </c>
      <c r="D4" s="18" t="n">
        <v>1052</v>
      </c>
      <c r="E4" s="18" t="n">
        <v>420</v>
      </c>
      <c r="F4" s="18" t="n">
        <v>-420</v>
      </c>
      <c r="G4" s="18" t="s">
        <v>134</v>
      </c>
    </row>
    <row r="5" customFormat="false" ht="15" hidden="false" customHeight="false" outlineLevel="0" collapsed="false">
      <c r="A5" s="18" t="s">
        <v>53</v>
      </c>
      <c r="B5" s="18" t="s">
        <v>97</v>
      </c>
      <c r="C5" s="18" t="n">
        <v>0</v>
      </c>
      <c r="D5" s="18" t="n">
        <v>1052</v>
      </c>
      <c r="E5" s="18" t="n">
        <v>420</v>
      </c>
      <c r="F5" s="18" t="n">
        <v>-420</v>
      </c>
      <c r="G5" s="18" t="s">
        <v>134</v>
      </c>
    </row>
    <row r="6" customFormat="false" ht="15" hidden="false" customHeight="false" outlineLevel="0" collapsed="false">
      <c r="A6" s="18" t="s">
        <v>53</v>
      </c>
      <c r="B6" s="18" t="s">
        <v>92</v>
      </c>
      <c r="C6" s="18" t="n">
        <v>0</v>
      </c>
      <c r="D6" s="18" t="n">
        <v>1052</v>
      </c>
      <c r="E6" s="18" t="n">
        <v>420</v>
      </c>
      <c r="F6" s="18" t="n">
        <v>-420</v>
      </c>
      <c r="G6" s="18" t="s">
        <v>134</v>
      </c>
    </row>
    <row r="7" customFormat="false" ht="15" hidden="false" customHeight="false" outlineLevel="0" collapsed="false">
      <c r="A7" s="18" t="s">
        <v>53</v>
      </c>
      <c r="B7" s="18" t="s">
        <v>99</v>
      </c>
      <c r="C7" s="18" t="n">
        <v>0</v>
      </c>
      <c r="D7" s="18" t="n">
        <v>1052</v>
      </c>
      <c r="E7" s="18" t="n">
        <v>420</v>
      </c>
      <c r="F7" s="18" t="n">
        <v>-420</v>
      </c>
      <c r="G7" s="18" t="s">
        <v>134</v>
      </c>
    </row>
    <row r="8" customFormat="false" ht="15" hidden="false" customHeight="false" outlineLevel="0" collapsed="false">
      <c r="A8" s="18" t="s">
        <v>53</v>
      </c>
      <c r="B8" s="18" t="s">
        <v>93</v>
      </c>
      <c r="C8" s="18" t="n">
        <v>0</v>
      </c>
      <c r="D8" s="18" t="n">
        <v>1052</v>
      </c>
      <c r="E8" s="18" t="n">
        <v>420</v>
      </c>
      <c r="F8" s="18" t="n">
        <v>-420</v>
      </c>
      <c r="G8" s="18" t="s">
        <v>134</v>
      </c>
    </row>
    <row r="9" customFormat="false" ht="15" hidden="false" customHeight="false" outlineLevel="0" collapsed="false">
      <c r="A9" s="18" t="s">
        <v>53</v>
      </c>
      <c r="B9" s="18" t="s">
        <v>98</v>
      </c>
      <c r="C9" s="18" t="n">
        <v>0</v>
      </c>
      <c r="D9" s="18" t="n">
        <v>1052</v>
      </c>
      <c r="E9" s="18" t="n">
        <v>420</v>
      </c>
      <c r="F9" s="18" t="n">
        <v>-420</v>
      </c>
      <c r="G9" s="18" t="s">
        <v>134</v>
      </c>
    </row>
    <row r="10" customFormat="false" ht="15" hidden="false" customHeight="false" outlineLevel="0" collapsed="false">
      <c r="A10" s="18" t="s">
        <v>53</v>
      </c>
      <c r="B10" s="18" t="s">
        <v>89</v>
      </c>
      <c r="C10" s="18" t="n">
        <v>5</v>
      </c>
      <c r="D10" s="18" t="n">
        <v>1052</v>
      </c>
      <c r="E10" s="18" t="n">
        <v>420</v>
      </c>
      <c r="F10" s="18" t="n">
        <v>-415</v>
      </c>
      <c r="G10" s="18" t="s">
        <v>135</v>
      </c>
    </row>
    <row r="11" customFormat="false" ht="15" hidden="false" customHeight="false" outlineLevel="0" collapsed="false">
      <c r="A11" s="18" t="s">
        <v>53</v>
      </c>
      <c r="B11" s="18" t="s">
        <v>88</v>
      </c>
      <c r="C11" s="18" t="n">
        <v>107</v>
      </c>
      <c r="D11" s="18" t="n">
        <v>1052</v>
      </c>
      <c r="E11" s="18" t="n">
        <v>420</v>
      </c>
      <c r="F11" s="18" t="n">
        <v>-313</v>
      </c>
      <c r="G11" s="18" t="s">
        <v>135</v>
      </c>
    </row>
    <row r="12" customFormat="false" ht="15" hidden="false" customHeight="false" outlineLevel="0" collapsed="false">
      <c r="A12" s="18" t="s">
        <v>53</v>
      </c>
      <c r="B12" s="18" t="s">
        <v>94</v>
      </c>
      <c r="C12" s="18" t="n">
        <v>140</v>
      </c>
      <c r="D12" s="18" t="n">
        <v>1052</v>
      </c>
      <c r="E12" s="18" t="n">
        <v>420</v>
      </c>
      <c r="F12" s="18" t="n">
        <v>-280</v>
      </c>
      <c r="G12" s="18" t="s">
        <v>135</v>
      </c>
    </row>
    <row r="13" customFormat="false" ht="15" hidden="false" customHeight="false" outlineLevel="0" collapsed="false">
      <c r="A13" s="18" t="s">
        <v>53</v>
      </c>
      <c r="B13" s="18" t="s">
        <v>90</v>
      </c>
      <c r="C13" s="18" t="n">
        <v>154</v>
      </c>
      <c r="D13" s="18" t="n">
        <v>1052</v>
      </c>
      <c r="E13" s="18" t="n">
        <v>420</v>
      </c>
      <c r="F13" s="18" t="n">
        <v>-266</v>
      </c>
      <c r="G13" s="18" t="s">
        <v>135</v>
      </c>
    </row>
    <row r="14" customFormat="false" ht="15" hidden="false" customHeight="false" outlineLevel="0" collapsed="false">
      <c r="A14" s="18" t="s">
        <v>55</v>
      </c>
      <c r="B14" s="18" t="s">
        <v>88</v>
      </c>
      <c r="C14" s="18" t="n">
        <v>0</v>
      </c>
      <c r="D14" s="18" t="n">
        <v>393</v>
      </c>
      <c r="E14" s="18" t="n">
        <v>157</v>
      </c>
      <c r="F14" s="18" t="n">
        <v>-157</v>
      </c>
      <c r="G14" s="18" t="s">
        <v>134</v>
      </c>
    </row>
    <row r="15" customFormat="false" ht="15" hidden="false" customHeight="false" outlineLevel="0" collapsed="false">
      <c r="A15" s="18" t="s">
        <v>55</v>
      </c>
      <c r="B15" s="18" t="s">
        <v>95</v>
      </c>
      <c r="C15" s="18" t="n">
        <v>0</v>
      </c>
      <c r="D15" s="18" t="n">
        <v>393</v>
      </c>
      <c r="E15" s="18" t="n">
        <v>157</v>
      </c>
      <c r="F15" s="18" t="n">
        <v>-157</v>
      </c>
      <c r="G15" s="18" t="s">
        <v>134</v>
      </c>
    </row>
    <row r="16" customFormat="false" ht="15" hidden="false" customHeight="false" outlineLevel="0" collapsed="false">
      <c r="A16" s="18" t="s">
        <v>55</v>
      </c>
      <c r="B16" s="18" t="s">
        <v>91</v>
      </c>
      <c r="C16" s="18" t="n">
        <v>0</v>
      </c>
      <c r="D16" s="18" t="n">
        <v>393</v>
      </c>
      <c r="E16" s="18" t="n">
        <v>157</v>
      </c>
      <c r="F16" s="18" t="n">
        <v>-157</v>
      </c>
      <c r="G16" s="18" t="s">
        <v>134</v>
      </c>
    </row>
    <row r="17" customFormat="false" ht="15" hidden="false" customHeight="false" outlineLevel="0" collapsed="false">
      <c r="A17" s="18" t="s">
        <v>55</v>
      </c>
      <c r="B17" s="18" t="s">
        <v>96</v>
      </c>
      <c r="C17" s="18" t="n">
        <v>0</v>
      </c>
      <c r="D17" s="18" t="n">
        <v>393</v>
      </c>
      <c r="E17" s="18" t="n">
        <v>157</v>
      </c>
      <c r="F17" s="18" t="n">
        <v>-157</v>
      </c>
      <c r="G17" s="18" t="s">
        <v>134</v>
      </c>
    </row>
    <row r="18" customFormat="false" ht="15" hidden="false" customHeight="false" outlineLevel="0" collapsed="false">
      <c r="A18" s="18" t="s">
        <v>55</v>
      </c>
      <c r="B18" s="18" t="s">
        <v>97</v>
      </c>
      <c r="C18" s="18" t="n">
        <v>0</v>
      </c>
      <c r="D18" s="18" t="n">
        <v>393</v>
      </c>
      <c r="E18" s="18" t="n">
        <v>157</v>
      </c>
      <c r="F18" s="18" t="n">
        <v>-157</v>
      </c>
      <c r="G18" s="18" t="s">
        <v>134</v>
      </c>
    </row>
    <row r="19" customFormat="false" ht="15" hidden="false" customHeight="false" outlineLevel="0" collapsed="false">
      <c r="A19" s="18" t="s">
        <v>55</v>
      </c>
      <c r="B19" s="18" t="s">
        <v>92</v>
      </c>
      <c r="C19" s="18" t="n">
        <v>0</v>
      </c>
      <c r="D19" s="18" t="n">
        <v>393</v>
      </c>
      <c r="E19" s="18" t="n">
        <v>157</v>
      </c>
      <c r="F19" s="18" t="n">
        <v>-157</v>
      </c>
      <c r="G19" s="18" t="s">
        <v>134</v>
      </c>
    </row>
    <row r="20" customFormat="false" ht="15" hidden="false" customHeight="false" outlineLevel="0" collapsed="false">
      <c r="A20" s="18" t="s">
        <v>55</v>
      </c>
      <c r="B20" s="18" t="s">
        <v>89</v>
      </c>
      <c r="C20" s="18" t="n">
        <v>0</v>
      </c>
      <c r="D20" s="18" t="n">
        <v>393</v>
      </c>
      <c r="E20" s="18" t="n">
        <v>157</v>
      </c>
      <c r="F20" s="18" t="n">
        <v>-157</v>
      </c>
      <c r="G20" s="18" t="s">
        <v>134</v>
      </c>
    </row>
    <row r="21" customFormat="false" ht="15" hidden="false" customHeight="false" outlineLevel="0" collapsed="false">
      <c r="A21" s="18" t="s">
        <v>55</v>
      </c>
      <c r="B21" s="18" t="s">
        <v>90</v>
      </c>
      <c r="C21" s="18" t="n">
        <v>0</v>
      </c>
      <c r="D21" s="18" t="n">
        <v>393</v>
      </c>
      <c r="E21" s="18" t="n">
        <v>157</v>
      </c>
      <c r="F21" s="18" t="n">
        <v>-157</v>
      </c>
      <c r="G21" s="18" t="s">
        <v>134</v>
      </c>
    </row>
    <row r="22" customFormat="false" ht="15" hidden="false" customHeight="false" outlineLevel="0" collapsed="false">
      <c r="A22" s="18" t="s">
        <v>55</v>
      </c>
      <c r="B22" s="18" t="s">
        <v>94</v>
      </c>
      <c r="C22" s="18" t="n">
        <v>0</v>
      </c>
      <c r="D22" s="18" t="n">
        <v>393</v>
      </c>
      <c r="E22" s="18" t="n">
        <v>157</v>
      </c>
      <c r="F22" s="18" t="n">
        <v>-157</v>
      </c>
      <c r="G22" s="18" t="s">
        <v>134</v>
      </c>
    </row>
    <row r="23" customFormat="false" ht="15" hidden="false" customHeight="false" outlineLevel="0" collapsed="false">
      <c r="A23" s="18" t="s">
        <v>55</v>
      </c>
      <c r="B23" s="18" t="s">
        <v>99</v>
      </c>
      <c r="C23" s="18" t="n">
        <v>3</v>
      </c>
      <c r="D23" s="18" t="n">
        <v>393</v>
      </c>
      <c r="E23" s="18" t="n">
        <v>157</v>
      </c>
      <c r="F23" s="18" t="n">
        <v>-154</v>
      </c>
      <c r="G23" s="18" t="s">
        <v>135</v>
      </c>
    </row>
    <row r="24" customFormat="false" ht="15" hidden="false" customHeight="false" outlineLevel="0" collapsed="false">
      <c r="A24" s="18" t="s">
        <v>55</v>
      </c>
      <c r="B24" s="18" t="s">
        <v>93</v>
      </c>
      <c r="C24" s="18" t="n">
        <v>12</v>
      </c>
      <c r="D24" s="18" t="n">
        <v>393</v>
      </c>
      <c r="E24" s="18" t="n">
        <v>157</v>
      </c>
      <c r="F24" s="18" t="n">
        <v>-145</v>
      </c>
      <c r="G24" s="18" t="s">
        <v>135</v>
      </c>
    </row>
    <row r="25" customFormat="false" ht="15" hidden="false" customHeight="false" outlineLevel="0" collapsed="false">
      <c r="A25" s="18" t="s">
        <v>55</v>
      </c>
      <c r="B25" s="18" t="s">
        <v>98</v>
      </c>
      <c r="C25" s="18" t="n">
        <v>52</v>
      </c>
      <c r="D25" s="18" t="n">
        <v>393</v>
      </c>
      <c r="E25" s="18" t="n">
        <v>157</v>
      </c>
      <c r="F25" s="18" t="n">
        <v>-105</v>
      </c>
      <c r="G25" s="18" t="s">
        <v>135</v>
      </c>
    </row>
    <row r="26" customFormat="false" ht="15" hidden="false" customHeight="false" outlineLevel="0" collapsed="false">
      <c r="A26" s="18" t="s">
        <v>65</v>
      </c>
      <c r="B26" s="18" t="s">
        <v>88</v>
      </c>
      <c r="C26" s="18" t="n">
        <v>0</v>
      </c>
      <c r="D26" s="18" t="n">
        <v>156</v>
      </c>
      <c r="E26" s="18" t="n">
        <v>62</v>
      </c>
      <c r="F26" s="18" t="n">
        <v>-62</v>
      </c>
      <c r="G26" s="18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20"/>
    <col collapsed="false" customWidth="true" hidden="false" outlineLevel="0" max="5" min="5" style="0" width="22"/>
  </cols>
  <sheetData>
    <row r="1" customFormat="false" ht="15" hidden="false" customHeight="false" outlineLevel="0" collapsed="false">
      <c r="A1" s="17" t="s">
        <v>18</v>
      </c>
      <c r="B1" s="17" t="s">
        <v>84</v>
      </c>
      <c r="C1" s="17" t="s">
        <v>12</v>
      </c>
      <c r="D1" s="17" t="s">
        <v>136</v>
      </c>
      <c r="E1" s="17" t="s">
        <v>87</v>
      </c>
    </row>
    <row r="2" customFormat="false" ht="15" hidden="false" customHeight="false" outlineLevel="0" collapsed="false">
      <c r="A2" s="18" t="s">
        <v>24</v>
      </c>
      <c r="B2" s="18" t="s">
        <v>88</v>
      </c>
      <c r="C2" s="18" t="n">
        <v>174</v>
      </c>
      <c r="D2" s="18" t="n">
        <v>89.7</v>
      </c>
      <c r="E2" s="18" t="n">
        <v>79.8</v>
      </c>
    </row>
    <row r="3" customFormat="false" ht="15" hidden="false" customHeight="false" outlineLevel="0" collapsed="false">
      <c r="A3" s="18" t="s">
        <v>22</v>
      </c>
      <c r="B3" s="18" t="s">
        <v>91</v>
      </c>
      <c r="C3" s="18" t="n">
        <v>164</v>
      </c>
      <c r="D3" s="18" t="n">
        <v>89.6</v>
      </c>
      <c r="E3" s="18" t="n">
        <v>80.5</v>
      </c>
    </row>
    <row r="4" customFormat="false" ht="15" hidden="false" customHeight="false" outlineLevel="0" collapsed="false">
      <c r="A4" s="18" t="s">
        <v>24</v>
      </c>
      <c r="B4" s="18" t="s">
        <v>99</v>
      </c>
      <c r="C4" s="18" t="n">
        <v>166</v>
      </c>
      <c r="D4" s="18" t="n">
        <v>88.6</v>
      </c>
      <c r="E4" s="18" t="n">
        <v>78.9</v>
      </c>
    </row>
    <row r="5" customFormat="false" ht="15" hidden="false" customHeight="false" outlineLevel="0" collapsed="false">
      <c r="A5" s="18" t="s">
        <v>26</v>
      </c>
      <c r="B5" s="18" t="s">
        <v>92</v>
      </c>
      <c r="C5" s="18" t="n">
        <v>178</v>
      </c>
      <c r="D5" s="18" t="n">
        <v>87.6</v>
      </c>
      <c r="E5" s="18" t="n">
        <v>80.1</v>
      </c>
    </row>
    <row r="6" customFormat="false" ht="15" hidden="false" customHeight="false" outlineLevel="0" collapsed="false">
      <c r="A6" s="18" t="s">
        <v>22</v>
      </c>
      <c r="B6" s="18" t="s">
        <v>95</v>
      </c>
      <c r="C6" s="18" t="n">
        <v>155</v>
      </c>
      <c r="D6" s="18" t="n">
        <v>87.1</v>
      </c>
      <c r="E6" s="18" t="n">
        <v>83</v>
      </c>
    </row>
    <row r="7" customFormat="false" ht="15" hidden="false" customHeight="false" outlineLevel="0" collapsed="false">
      <c r="A7" s="18" t="s">
        <v>24</v>
      </c>
      <c r="B7" s="18" t="s">
        <v>93</v>
      </c>
      <c r="C7" s="18" t="n">
        <v>161</v>
      </c>
      <c r="D7" s="18" t="n">
        <v>87</v>
      </c>
      <c r="E7" s="18" t="n">
        <v>80.8</v>
      </c>
    </row>
    <row r="8" customFormat="false" ht="15" hidden="false" customHeight="false" outlineLevel="0" collapsed="false">
      <c r="A8" s="18" t="s">
        <v>22</v>
      </c>
      <c r="B8" s="18" t="s">
        <v>99</v>
      </c>
      <c r="C8" s="18" t="n">
        <v>151</v>
      </c>
      <c r="D8" s="18" t="n">
        <v>86.8</v>
      </c>
      <c r="E8" s="18" t="n">
        <v>82.5</v>
      </c>
    </row>
    <row r="9" customFormat="false" ht="15" hidden="false" customHeight="false" outlineLevel="0" collapsed="false">
      <c r="A9" s="18" t="s">
        <v>26</v>
      </c>
      <c r="B9" s="18" t="s">
        <v>91</v>
      </c>
      <c r="C9" s="18" t="n">
        <v>181</v>
      </c>
      <c r="D9" s="18" t="n">
        <v>86.7</v>
      </c>
      <c r="E9" s="18" t="n">
        <v>80.4</v>
      </c>
    </row>
    <row r="10" customFormat="false" ht="15" hidden="false" customHeight="false" outlineLevel="0" collapsed="false">
      <c r="A10" s="18" t="s">
        <v>24</v>
      </c>
      <c r="B10" s="18" t="s">
        <v>89</v>
      </c>
      <c r="C10" s="18" t="n">
        <v>142</v>
      </c>
      <c r="D10" s="18" t="n">
        <v>86.6</v>
      </c>
      <c r="E10" s="18" t="n">
        <v>77.8</v>
      </c>
    </row>
    <row r="11" customFormat="false" ht="15" hidden="false" customHeight="false" outlineLevel="0" collapsed="false">
      <c r="A11" s="18" t="s">
        <v>24</v>
      </c>
      <c r="B11" s="18" t="s">
        <v>90</v>
      </c>
      <c r="C11" s="18" t="n">
        <v>186</v>
      </c>
      <c r="D11" s="18" t="n">
        <v>86.6</v>
      </c>
      <c r="E11" s="18" t="n">
        <v>83.4</v>
      </c>
    </row>
    <row r="12" customFormat="false" ht="15" hidden="false" customHeight="false" outlineLevel="0" collapsed="false">
      <c r="A12" s="18" t="s">
        <v>26</v>
      </c>
      <c r="B12" s="18" t="s">
        <v>98</v>
      </c>
      <c r="C12" s="18" t="n">
        <v>162</v>
      </c>
      <c r="D12" s="18" t="n">
        <v>86.4</v>
      </c>
      <c r="E12" s="18" t="n">
        <v>82.5</v>
      </c>
    </row>
    <row r="13" customFormat="false" ht="15" hidden="false" customHeight="false" outlineLevel="0" collapsed="false">
      <c r="A13" s="18" t="s">
        <v>22</v>
      </c>
      <c r="B13" s="18" t="s">
        <v>98</v>
      </c>
      <c r="C13" s="18" t="n">
        <v>176</v>
      </c>
      <c r="D13" s="18" t="n">
        <v>86.4</v>
      </c>
      <c r="E13" s="18" t="n">
        <v>81.4</v>
      </c>
    </row>
    <row r="14" customFormat="false" ht="15" hidden="false" customHeight="false" outlineLevel="0" collapsed="false">
      <c r="A14" s="18" t="s">
        <v>26</v>
      </c>
      <c r="B14" s="18" t="s">
        <v>97</v>
      </c>
      <c r="C14" s="18" t="n">
        <v>183</v>
      </c>
      <c r="D14" s="18" t="n">
        <v>86.3</v>
      </c>
      <c r="E14" s="18" t="n">
        <v>81.4</v>
      </c>
    </row>
    <row r="15" customFormat="false" ht="15" hidden="false" customHeight="false" outlineLevel="0" collapsed="false">
      <c r="A15" s="18" t="s">
        <v>24</v>
      </c>
      <c r="B15" s="18" t="s">
        <v>94</v>
      </c>
      <c r="C15" s="18" t="n">
        <v>151</v>
      </c>
      <c r="D15" s="18" t="n">
        <v>86.1</v>
      </c>
      <c r="E15" s="18" t="n">
        <v>83.7</v>
      </c>
    </row>
    <row r="16" customFormat="false" ht="15" hidden="false" customHeight="false" outlineLevel="0" collapsed="false">
      <c r="A16" s="18" t="s">
        <v>26</v>
      </c>
      <c r="B16" s="18" t="s">
        <v>89</v>
      </c>
      <c r="C16" s="18" t="n">
        <v>149</v>
      </c>
      <c r="D16" s="18" t="n">
        <v>85.9</v>
      </c>
      <c r="E16" s="18" t="n">
        <v>85.2</v>
      </c>
    </row>
    <row r="17" customFormat="false" ht="15" hidden="false" customHeight="false" outlineLevel="0" collapsed="false">
      <c r="A17" s="18" t="s">
        <v>26</v>
      </c>
      <c r="B17" s="18" t="s">
        <v>90</v>
      </c>
      <c r="C17" s="18" t="n">
        <v>184</v>
      </c>
      <c r="D17" s="18" t="n">
        <v>85.9</v>
      </c>
      <c r="E17" s="18" t="n">
        <v>80.1</v>
      </c>
    </row>
    <row r="18" customFormat="false" ht="15" hidden="false" customHeight="false" outlineLevel="0" collapsed="false">
      <c r="A18" s="18" t="s">
        <v>22</v>
      </c>
      <c r="B18" s="18" t="s">
        <v>88</v>
      </c>
      <c r="C18" s="18" t="n">
        <v>180</v>
      </c>
      <c r="D18" s="18" t="n">
        <v>85.6</v>
      </c>
      <c r="E18" s="18" t="n">
        <v>81.7</v>
      </c>
    </row>
    <row r="19" customFormat="false" ht="15" hidden="false" customHeight="false" outlineLevel="0" collapsed="false">
      <c r="A19" s="18" t="s">
        <v>22</v>
      </c>
      <c r="B19" s="18" t="s">
        <v>96</v>
      </c>
      <c r="C19" s="18" t="n">
        <v>141</v>
      </c>
      <c r="D19" s="18" t="n">
        <v>85.1</v>
      </c>
      <c r="E19" s="18" t="n">
        <v>85.2</v>
      </c>
    </row>
    <row r="20" customFormat="false" ht="15" hidden="false" customHeight="false" outlineLevel="0" collapsed="false">
      <c r="A20" s="18" t="s">
        <v>24</v>
      </c>
      <c r="B20" s="18" t="s">
        <v>92</v>
      </c>
      <c r="C20" s="18" t="n">
        <v>161</v>
      </c>
      <c r="D20" s="18" t="n">
        <v>85.1</v>
      </c>
      <c r="E20" s="18" t="n">
        <v>82.1</v>
      </c>
    </row>
    <row r="21" customFormat="false" ht="15" hidden="false" customHeight="false" outlineLevel="0" collapsed="false">
      <c r="A21" s="18" t="s">
        <v>22</v>
      </c>
      <c r="B21" s="18" t="s">
        <v>90</v>
      </c>
      <c r="C21" s="18" t="n">
        <v>162</v>
      </c>
      <c r="D21" s="18" t="n">
        <v>84.6</v>
      </c>
      <c r="E21" s="18" t="n">
        <v>86.4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2026-08-10T19:32:48Z</dcterms:created>
  <dc:creator>openpyxl</dc:creator>
  <dc:description/>
  <dc:language>en-US</dc:language>
  <cp:lastModifiedBy/>
  <dcterms:modified xsi:type="dcterms:W3CDTF">2026-08-10T19:32:58Z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